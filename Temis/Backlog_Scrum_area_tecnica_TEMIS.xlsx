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Agenda Ejecutiva" sheetId="1" state="visible" r:id="rId1"/>
    <sheet xmlns:r="http://schemas.openxmlformats.org/officeDocument/2006/relationships" name="Backlog Scrum Técnico TEMIS" sheetId="2" state="visible" r:id="rId2"/>
    <sheet xmlns:r="http://schemas.openxmlformats.org/officeDocument/2006/relationships" name="📊 Dashboard Ejecutivo" sheetId="3" state="visible" r:id="rId3"/>
    <sheet xmlns:r="http://schemas.openxmlformats.org/officeDocument/2006/relationships" name="Relacion Commits" sheetId="4" state="visible" r:id="rId4"/>
    <sheet xmlns:r="http://schemas.openxmlformats.org/officeDocument/2006/relationships" name="Historial Comm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color rgb="00334155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1E40AF"/>
      <sz val="10"/>
    </font>
    <font>
      <name val="Calibri"/>
      <b val="1"/>
      <color rgb="00FFFFFF"/>
      <sz val="10"/>
    </font>
    <font>
      <name val="Calibri"/>
      <b val="1"/>
      <color rgb="001E3A8A"/>
      <sz val="18"/>
    </font>
    <font>
      <name val="Calibri"/>
      <b val="1"/>
      <color rgb="001E293B"/>
      <sz val="10"/>
    </font>
  </fonts>
  <fills count="1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0F172A"/>
        <bgColor rgb="000F172A"/>
      </patternFill>
    </fill>
    <fill>
      <patternFill patternType="solid">
        <fgColor rgb="00FEF9C3"/>
        <bgColor rgb="00FEF9C3"/>
      </patternFill>
    </fill>
    <fill>
      <patternFill patternType="solid">
        <fgColor rgb="00EBF5FF"/>
        <bgColor rgb="00EBF5FF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65" fontId="10" fillId="7" borderId="0" applyAlignment="1" pivotButton="0" quotePrefix="0" xfId="0">
      <alignment horizontal="center" vertical="center"/>
    </xf>
    <xf numFmtId="1" fontId="10" fillId="7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165" fontId="11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50" customWidth="1" min="3" max="3"/>
    <col width="27" customWidth="1" min="4" max="4"/>
    <col width="50" customWidth="1" min="5" max="5"/>
    <col width="14" customWidth="1" min="6" max="6"/>
    <col width="15" customWidth="1" min="7" max="7"/>
  </cols>
  <sheetData>
    <row r="1" ht="35" customHeight="1">
      <c r="A1" s="1" t="inlineStr">
        <is>
          <t>AGENDA EJECUTIVA Y ROADMAP DE SPRINTS | PROYECTO TEMIS</t>
        </is>
      </c>
    </row>
    <row r="2" ht="20" customHeight="1">
      <c r="A2" s="2" t="inlineStr">
        <is>
          <t>Periodo Oficial: 16 de Enero de 2026 (Primer Commit) al 04 de Diciembre de 2026 (Entrega Final y Cierre de Proyecto)</t>
        </is>
      </c>
    </row>
    <row r="4" ht="25" customHeight="1">
      <c r="A4" s="3" t="inlineStr">
        <is>
          <t>Sprint</t>
        </is>
      </c>
      <c r="B4" s="3" t="inlineStr">
        <is>
          <t>Periodo</t>
        </is>
      </c>
      <c r="C4" s="3" t="inlineStr">
        <is>
          <t>Objetivo Estratégico</t>
        </is>
      </c>
      <c r="D4" s="3" t="inlineStr">
        <is>
          <t>Módulos Clave</t>
        </is>
      </c>
      <c r="E4" s="3" t="inlineStr">
        <is>
          <t>Hito / Entregable Principal</t>
        </is>
      </c>
      <c r="F4" s="3" t="inlineStr">
        <is>
          <t>Estado</t>
        </is>
      </c>
      <c r="G4" s="3" t="inlineStr">
        <is>
          <t>Story Points</t>
        </is>
      </c>
    </row>
    <row r="5" ht="22" customHeight="1">
      <c r="A5" s="4" t="inlineStr">
        <is>
          <t>Sprint 01</t>
        </is>
      </c>
      <c r="B5" s="4" t="inlineStr">
        <is>
          <t>16 Ene 2026 - 28 Feb 2026</t>
        </is>
      </c>
      <c r="C5" s="5" t="inlineStr">
        <is>
          <t>Arquitectura Base &amp; Persistencia Windows Desktop</t>
        </is>
      </c>
      <c r="D5" s="5" t="inlineStr">
        <is>
          <t>Core / DB / Sync</t>
        </is>
      </c>
      <c r="E5" s="5" t="inlineStr">
        <is>
          <t>Base de datos compartida SQLite + Sync Google Drive</t>
        </is>
      </c>
      <c r="F5" s="6" t="inlineStr">
        <is>
          <t>Completed</t>
        </is>
      </c>
      <c r="G5" s="4" t="n">
        <v>34</v>
      </c>
    </row>
    <row r="6" ht="22" customHeight="1">
      <c r="A6" s="4" t="inlineStr">
        <is>
          <t>Sprint 02</t>
        </is>
      </c>
      <c r="B6" s="4" t="inlineStr">
        <is>
          <t>01 Mar 2026 - 30 Abr 2026</t>
        </is>
      </c>
      <c r="C6" s="5" t="inlineStr">
        <is>
          <t>Gobernanza de Proyectos &amp; Metodología 7 Fases</t>
        </is>
      </c>
      <c r="D6" s="5" t="inlineStr">
        <is>
          <t>Gobernanza / Actas</t>
        </is>
      </c>
      <c r="E6" s="5" t="inlineStr">
        <is>
          <t>Modelado de Fases 1 a 7, Daily Logs, Roles y Entregables</t>
        </is>
      </c>
      <c r="F6" s="6" t="inlineStr">
        <is>
          <t>Completed</t>
        </is>
      </c>
      <c r="G6" s="4" t="n">
        <v>42</v>
      </c>
    </row>
    <row r="7" ht="22" customHeight="1">
      <c r="A7" s="4" t="inlineStr">
        <is>
          <t>Sprint 03</t>
        </is>
      </c>
      <c r="B7" s="4" t="inlineStr">
        <is>
          <t>01 May 2026 - 30 Jun 2026</t>
        </is>
      </c>
      <c r="C7" s="5" t="inlineStr">
        <is>
          <t>Motor de Diagramación Inicial Desktop &amp; Pruebas</t>
        </is>
      </c>
      <c r="D7" s="5" t="inlineStr">
        <is>
          <t>Canvas Desktop</t>
        </is>
      </c>
      <c r="E7" s="5" t="inlineStr">
        <is>
          <t>Lienzo de dibujo de procesos y exportación inicial</t>
        </is>
      </c>
      <c r="F7" s="6" t="inlineStr">
        <is>
          <t>Completed</t>
        </is>
      </c>
      <c r="G7" s="4" t="n">
        <v>38</v>
      </c>
    </row>
    <row r="8" ht="22" customHeight="1">
      <c r="A8" s="4" t="inlineStr">
        <is>
          <t>Sprint 04</t>
        </is>
      </c>
      <c r="B8" s="4" t="inlineStr">
        <is>
          <t>01 Jul 2026 - 26 Ago 2026</t>
        </is>
      </c>
      <c r="C8" s="5" t="inlineStr">
        <is>
          <t>Desacoplamiento Arquitectónico &amp; Preparación API</t>
        </is>
      </c>
      <c r="D8" s="5" t="inlineStr">
        <is>
          <t>FastAPI / Backend</t>
        </is>
      </c>
      <c r="E8" s="5" t="inlineStr">
        <is>
          <t>Diseño de API REST FastAPI y modelos Pydantic</t>
        </is>
      </c>
      <c r="F8" s="6" t="inlineStr">
        <is>
          <t>Completed</t>
        </is>
      </c>
      <c r="G8" s="4" t="n">
        <v>30</v>
      </c>
    </row>
    <row r="9" ht="22" customHeight="1">
      <c r="A9" s="4" t="inlineStr">
        <is>
          <t>Sprint 05</t>
        </is>
      </c>
      <c r="B9" s="4" t="inlineStr">
        <is>
          <t>27 Ago 2026 - 31 Ago 2026</t>
        </is>
      </c>
      <c r="C9" s="7" t="inlineStr">
        <is>
          <t>🔥 HITO CLAVE: Reestructuración Desktop ➔ Web SaaS Cloud</t>
        </is>
      </c>
      <c r="D9" s="5" t="inlineStr">
        <is>
          <t>Reflex / Render / Parser</t>
        </is>
      </c>
      <c r="E9" s="5" t="inlineStr">
        <is>
          <t>Migración a Reflex Full-Stack, PostgreSQL 18, Parser Nativo Lucidchart</t>
        </is>
      </c>
      <c r="F9" s="6" t="inlineStr">
        <is>
          <t>Completed</t>
        </is>
      </c>
      <c r="G9" s="4" t="n">
        <v>65</v>
      </c>
    </row>
    <row r="10" ht="22" customHeight="1">
      <c r="A10" s="4" t="inlineStr">
        <is>
          <t>Sprint 06</t>
        </is>
      </c>
      <c r="B10" s="4" t="inlineStr">
        <is>
          <t>01 Sep 2026 - 15 Sep 2026</t>
        </is>
      </c>
      <c r="C10" s="5" t="inlineStr">
        <is>
          <t>Reingeniería UI/UX Pro &amp; Auditoría IA de Procesos</t>
        </is>
      </c>
      <c r="D10" s="5" t="inlineStr">
        <is>
          <t>UI/UX / Gemini AI</t>
        </is>
      </c>
      <c r="E10" s="5" t="inlineStr">
        <is>
          <t>Header 50px, Dock izquierdo, Inspector derecho, Auditor Gemini AI</t>
        </is>
      </c>
      <c r="F10" s="6" t="inlineStr">
        <is>
          <t>Completed</t>
        </is>
      </c>
      <c r="G10" s="4" t="n">
        <v>45</v>
      </c>
    </row>
    <row r="11" ht="22" customHeight="1">
      <c r="A11" s="31" t="inlineStr">
        <is>
          <t>Sprint 07</t>
        </is>
      </c>
      <c r="B11" s="31" t="inlineStr">
        <is>
          <t>16 Sep 2026 - 30 Sep 2026</t>
        </is>
      </c>
      <c r="C11" s="32" t="inlineStr">
        <is>
          <t>🔥 HITO ESTRATÉGICO: Introducción TEMIS Media Studio (Desktop) + Ingesta Web &amp; Plantillas Maestras</t>
        </is>
      </c>
      <c r="D11" s="32" t="inlineStr">
        <is>
          <t>Media Studio / Ingesta ZIP / SIPOC / Plantilla Word Oficial</t>
        </is>
      </c>
      <c r="E11" s="32" t="inlineStr">
        <is>
          <t>Lanzamiento de TEMIS Media Studio (Whisper + Keyframes HD), Ingesta ZIP, Exportador Excel Oficial y Plantilla Maestra Word SAR 90 días</t>
        </is>
      </c>
      <c r="F11" s="33" t="inlineStr">
        <is>
          <t>Completed</t>
        </is>
      </c>
      <c r="G11" s="31" t="n">
        <v>65</v>
      </c>
    </row>
    <row r="12" ht="22" customHeight="1">
      <c r="A12" s="31" t="inlineStr">
        <is>
          <t>Sprint 08</t>
        </is>
      </c>
      <c r="B12" s="31" t="inlineStr">
        <is>
          <t>01 Oct 2026 - 31 Oct 2026</t>
        </is>
      </c>
      <c r="C12" s="32" t="inlineStr">
        <is>
          <t>🔥 HITO DE ARQUITECTURA: Desacoplamiento de Gobernanza a AppSheet &amp; Enfoque Motor Documental TEMIS</t>
        </is>
      </c>
      <c r="D12" s="32" t="inlineStr">
        <is>
          <t>AppSheet Link / Ficha Técnica / SIPOC / BPMN / DOCX / Auditor IA</t>
        </is>
      </c>
      <c r="E12" s="32" t="inlineStr">
        <is>
          <t>Desacoplamiento a AppSheet, Reenfoque a 4 Vistas Técnicas, Auditor IA 0-100 pts técnico, UAT en vivo y auto-layout</t>
        </is>
      </c>
      <c r="F12" s="34" t="inlineStr">
        <is>
          <t>In Progress</t>
        </is>
      </c>
      <c r="G12" s="31" t="n">
        <v>44</v>
      </c>
    </row>
    <row r="13" ht="22" customHeight="1">
      <c r="A13" s="4" t="inlineStr">
        <is>
          <t>Sprint 09</t>
        </is>
      </c>
      <c r="B13" s="4" t="inlineStr">
        <is>
          <t>01 Nov 2026 - 20 Nov 2026</t>
        </is>
      </c>
      <c r="C13" s="5" t="inlineStr">
        <is>
          <t>Respaldo en Unidad Compartida Google Drive &amp; Seguridad</t>
        </is>
      </c>
      <c r="D13" s="5" t="inlineStr">
        <is>
          <t>Drive SA / Seguridad</t>
        </is>
      </c>
      <c r="E13" s="5" t="inlineStr">
        <is>
          <t>Backup automático en Drive con Service Account y seguridad RBAC</t>
        </is>
      </c>
      <c r="F13" s="9" t="inlineStr">
        <is>
          <t>Planned</t>
        </is>
      </c>
      <c r="G13" s="4" t="n">
        <v>25</v>
      </c>
    </row>
    <row r="14" ht="22" customHeight="1">
      <c r="A14" s="4" t="inlineStr">
        <is>
          <t>Sprint 10</t>
        </is>
      </c>
      <c r="B14" s="4" t="inlineStr">
        <is>
          <t>21 Nov 2026 - 04 Dic 2026</t>
        </is>
      </c>
      <c r="C14" s="5" t="inlineStr">
        <is>
          <t>QA Integral, Pruebas de Carga &amp; Entrega Final</t>
        </is>
      </c>
      <c r="D14" s="5" t="inlineStr">
        <is>
          <t>QA / Producción / Docs</t>
        </is>
      </c>
      <c r="E14" s="5" t="inlineStr">
        <is>
          <t>Pruebas de estrés (+2,000 nodos), manuales y Cierre de Proyecto</t>
        </is>
      </c>
      <c r="F14" s="9" t="inlineStr">
        <is>
          <t>Planned</t>
        </is>
      </c>
      <c r="G14" s="4" t="n">
        <v>20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38" customWidth="1" min="4" max="4"/>
    <col width="38" customWidth="1" min="5" max="5"/>
    <col width="16" customWidth="1" min="6" max="6"/>
    <col width="36" customWidth="1" min="7" max="7"/>
    <col width="12" customWidth="1" min="8" max="8"/>
    <col width="15" customWidth="1" min="9" max="9"/>
    <col width="21" customWidth="1" min="10" max="10"/>
    <col width="15" customWidth="1" min="11" max="11"/>
    <col width="13" customWidth="1" min="12" max="12"/>
    <col width="12" customWidth="1" min="13" max="13"/>
    <col width="14" customWidth="1" min="14" max="14"/>
    <col width="26" customWidth="1" min="15" max="15"/>
    <col width="38" customWidth="1" min="16" max="16"/>
    <col width="50" customWidth="1" min="17" max="17"/>
  </cols>
  <sheetData>
    <row r="1" ht="28" customHeight="1">
      <c r="A1" s="10" t="inlineStr">
        <is>
          <t>Backlog item ID</t>
        </is>
      </c>
      <c r="B1" s="10" t="inlineStr">
        <is>
          <t>Module (Reflex/FastAPI/Parser/DB/IA/Gobernanza)</t>
        </is>
      </c>
      <c r="C1" s="10" t="inlineStr">
        <is>
          <t>Type of Backlog Item</t>
        </is>
      </c>
      <c r="D1" s="10" t="inlineStr">
        <is>
          <t>User Story</t>
        </is>
      </c>
      <c r="E1" s="10" t="inlineStr">
        <is>
          <t>Task</t>
        </is>
      </c>
      <c r="F1" s="10" t="inlineStr">
        <is>
          <t>Task sequence</t>
        </is>
      </c>
      <c r="G1" s="10" t="inlineStr">
        <is>
          <t>Technical Description</t>
        </is>
      </c>
      <c r="H1" s="10" t="inlineStr">
        <is>
          <t>Priority</t>
        </is>
      </c>
      <c r="I1" s="10" t="inlineStr">
        <is>
          <t>Story points</t>
        </is>
      </c>
      <c r="J1" s="10" t="inlineStr">
        <is>
          <t>Estimation (horas)</t>
        </is>
      </c>
      <c r="K1" s="10" t="inlineStr">
        <is>
          <t>Fecha Inicio</t>
        </is>
      </c>
      <c r="L1" s="10" t="inlineStr">
        <is>
          <t>Fecha Fin</t>
        </is>
      </c>
      <c r="M1" s="10" t="inlineStr">
        <is>
          <t>Sprint</t>
        </is>
      </c>
      <c r="N1" s="10" t="inlineStr">
        <is>
          <t>Status</t>
        </is>
      </c>
      <c r="O1" s="10" t="inlineStr">
        <is>
          <t>Assigned to</t>
        </is>
      </c>
      <c r="P1" s="10" t="inlineStr">
        <is>
          <t>Criterios de Aceptación / Entregables</t>
        </is>
      </c>
      <c r="Q1" s="10" t="inlineStr">
        <is>
          <t>Referencia Técnica / Commits</t>
        </is>
      </c>
    </row>
    <row r="2" ht="24" customHeight="1">
      <c r="A2" s="11" t="n">
        <v>1</v>
      </c>
      <c r="B2" s="12" t="inlineStr">
        <is>
          <t>Core / DB Compartida</t>
        </is>
      </c>
      <c r="C2" s="12" t="inlineStr">
        <is>
          <t>Architecture</t>
        </is>
      </c>
      <c r="D2" s="12" t="inlineStr">
        <is>
          <t>Como equipo técnico, quiero un sistema de base de datos compartida para colaboración multi-usuario.</t>
        </is>
      </c>
      <c r="E2" s="12" t="inlineStr">
        <is>
          <t>1. Implementar SQLite compartida.
2. Conectar sincronización Google Drive.
3. Crear backups automáticos cada 5 min.
4. Diseñar UI de configuración.</t>
        </is>
      </c>
      <c r="F2" s="11" t="inlineStr">
        <is>
          <t>TBD</t>
        </is>
      </c>
      <c r="G2" s="12" t="inlineStr">
        <is>
          <t>Arquitectura de base de datos relacional compartida con respaldo automático en la nube para trabajo colaborativo.</t>
        </is>
      </c>
      <c r="H2" s="11" t="inlineStr">
        <is>
          <t>Alta</t>
        </is>
      </c>
      <c r="I2" s="11" t="n">
        <v>8</v>
      </c>
      <c r="J2" s="11" t="n">
        <v>40</v>
      </c>
      <c r="K2" s="13" t="n">
        <v>46038</v>
      </c>
      <c r="L2" s="13" t="n">
        <v>46053</v>
      </c>
      <c r="M2" s="11" t="inlineStr">
        <is>
          <t>Sprint 01</t>
        </is>
      </c>
      <c r="N2" s="6" t="inlineStr">
        <is>
          <t>Completed</t>
        </is>
      </c>
      <c r="O2" s="12" t="inlineStr">
        <is>
          <t>Área Técnica Innovación</t>
        </is>
      </c>
      <c r="P2" s="12" t="inlineStr">
        <is>
          <t>• Base de datos SQLite compartida funcional.
• Sincronización cada 5 min activa.
• Panel de configuración integrado.</t>
        </is>
      </c>
      <c r="Q2" s="12" t="inlineStr">
        <is>
          <t>Commit 4c0e337</t>
        </is>
      </c>
    </row>
    <row r="3" ht="24" customHeight="1">
      <c r="A3" s="4" t="n">
        <v>2</v>
      </c>
      <c r="B3" s="14" t="inlineStr">
        <is>
          <t>Core / Seguridad</t>
        </is>
      </c>
      <c r="C3" s="14" t="inlineStr">
        <is>
          <t>User Story</t>
        </is>
      </c>
      <c r="D3" s="14" t="inlineStr">
        <is>
          <t>Como administrador, quiero gestionar usuarios, roles y permisos de acceso en TEMIS.</t>
        </is>
      </c>
      <c r="E3" s="14" t="inlineStr">
        <is>
          <t>1. Definir modelo de Usuarios y Roles.
2. Crear autenticación segura.
3. Asignar permisos por grupo de trabajo.</t>
        </is>
      </c>
      <c r="F3" s="4" t="inlineStr">
        <is>
          <t>TBD</t>
        </is>
      </c>
      <c r="G3" s="14" t="inlineStr">
        <is>
          <t>Sistema de autenticación y autorización basado en roles (RBAC) para el gobierno de proyectos.</t>
        </is>
      </c>
      <c r="H3" s="4" t="inlineStr">
        <is>
          <t>Alta</t>
        </is>
      </c>
      <c r="I3" s="4" t="n">
        <v>5</v>
      </c>
      <c r="J3" s="4" t="n">
        <v>25</v>
      </c>
      <c r="K3" s="15" t="n">
        <v>46054</v>
      </c>
      <c r="L3" s="15" t="n">
        <v>46068</v>
      </c>
      <c r="M3" s="4" t="inlineStr">
        <is>
          <t>Sprint 01</t>
        </is>
      </c>
      <c r="N3" s="6" t="inlineStr">
        <is>
          <t>Completed</t>
        </is>
      </c>
      <c r="O3" s="14" t="inlineStr">
        <is>
          <t>Área Técnica Innovación</t>
        </is>
      </c>
      <c r="P3" s="14" t="inlineStr">
        <is>
          <t>• Modelos User y ProjectRoles creados.
• Control de accesos implementado.</t>
        </is>
      </c>
      <c r="Q3" s="14" t="inlineStr">
        <is>
          <t>Core RBAC</t>
        </is>
      </c>
    </row>
    <row r="4" ht="24" customHeight="1">
      <c r="A4" s="11" t="n">
        <v>3</v>
      </c>
      <c r="B4" s="12" t="inlineStr">
        <is>
          <t>Gobernanza / Proyectos</t>
        </is>
      </c>
      <c r="C4" s="12" t="inlineStr">
        <is>
          <t>User Story</t>
        </is>
      </c>
      <c r="D4" s="12" t="inlineStr">
        <is>
          <t>Como líder de proyecto, quiero estructurar proyectos con hitos y entregables.</t>
        </is>
      </c>
      <c r="E4" s="12" t="inlineStr">
        <is>
          <t>1. Crear modelo Project y Phase.
2. Diseñar formularios de proyectos.
3. Vincular entregables por fase.</t>
        </is>
      </c>
      <c r="F4" s="11" t="inlineStr">
        <is>
          <t>TBD</t>
        </is>
      </c>
      <c r="G4" s="12" t="inlineStr">
        <is>
          <t>Gestión integral de proyectos y entregables con ciclo de vida por fases.</t>
        </is>
      </c>
      <c r="H4" s="11" t="inlineStr">
        <is>
          <t>Alta</t>
        </is>
      </c>
      <c r="I4" s="11" t="n">
        <v>8</v>
      </c>
      <c r="J4" s="11" t="n">
        <v>35</v>
      </c>
      <c r="K4" s="13" t="n">
        <v>46069</v>
      </c>
      <c r="L4" s="13" t="n">
        <v>46081</v>
      </c>
      <c r="M4" s="11" t="inlineStr">
        <is>
          <t>Sprint 01</t>
        </is>
      </c>
      <c r="N4" s="6" t="inlineStr">
        <is>
          <t>Completed</t>
        </is>
      </c>
      <c r="O4" s="12" t="inlineStr">
        <is>
          <t>Área Técnica Innovación</t>
        </is>
      </c>
      <c r="P4" s="12" t="inlineStr">
        <is>
          <t>• Modelo Project y Deliverable integrados.
• Vistas de proyectos funcionales.</t>
        </is>
      </c>
      <c r="Q4" s="12" t="inlineStr">
        <is>
          <t>Core Projects</t>
        </is>
      </c>
    </row>
    <row r="5" ht="24" customHeight="1">
      <c r="A5" s="4" t="n">
        <v>4</v>
      </c>
      <c r="B5" s="14" t="inlineStr">
        <is>
          <t>Gobernanza / 7 Fases</t>
        </is>
      </c>
      <c r="C5" s="14" t="inlineStr">
        <is>
          <t>Epic</t>
        </is>
      </c>
      <c r="D5" s="14" t="inlineStr">
        <is>
          <t>Como PMO, quiero un marco metodológico estandarizado de 7 fases corporativas.</t>
        </is>
      </c>
      <c r="E5" s="14" t="inlineStr">
        <is>
          <t>1. Configurar fases: Diagnóstico, Inicio, Planificación, Ejecución, Monitoreo, Mejora, Cierre.
2. Crear reglas de transición entre fases.
3. Integrar validaciones de avance.</t>
        </is>
      </c>
      <c r="F5" s="4" t="inlineStr">
        <is>
          <t>TBD</t>
        </is>
      </c>
      <c r="G5" s="14" t="inlineStr">
        <is>
          <t>Implementación del framework metodológico de 7 fases de gobernanza corporativa para proyectos institucionales.</t>
        </is>
      </c>
      <c r="H5" s="4" t="inlineStr">
        <is>
          <t>Alta</t>
        </is>
      </c>
      <c r="I5" s="4" t="n">
        <v>13</v>
      </c>
      <c r="J5" s="4" t="n">
        <v>60</v>
      </c>
      <c r="K5" s="15" t="n">
        <v>46082</v>
      </c>
      <c r="L5" s="15" t="n">
        <v>46112</v>
      </c>
      <c r="M5" s="4" t="inlineStr">
        <is>
          <t>Sprint 02</t>
        </is>
      </c>
      <c r="N5" s="6" t="inlineStr">
        <is>
          <t>Completed</t>
        </is>
      </c>
      <c r="O5" s="14" t="inlineStr">
        <is>
          <t>Área Técnica Innovación</t>
        </is>
      </c>
      <c r="P5" s="14" t="inlineStr">
        <is>
          <t>• 7 Fases de gobernanza creadas en DB.
• Reglas de transición validadas.
• Menú selector de fases en UI.</t>
        </is>
      </c>
      <c r="Q5" s="14" t="inlineStr">
        <is>
          <t>Model Phase / Router phases</t>
        </is>
      </c>
    </row>
    <row r="6" ht="24" customHeight="1">
      <c r="A6" s="11" t="n">
        <v>5</v>
      </c>
      <c r="B6" s="12" t="inlineStr">
        <is>
          <t>Gobernanza / Daily Logs</t>
        </is>
      </c>
      <c r="C6" s="12" t="inlineStr">
        <is>
          <t>User Story</t>
        </is>
      </c>
      <c r="D6" s="12" t="inlineStr">
        <is>
          <t>Como PM, quiero registrar bitácoras diarias (Daily Logs) y cierres de jornada (EOD).</t>
        </is>
      </c>
      <c r="E6" s="12" t="inlineStr">
        <is>
          <t>1. Crear modelo DailyLog.
2. Crear router /api/daily-log y /api/eod.
3. Integrar cálculo de avances y bloqueos.</t>
        </is>
      </c>
      <c r="F6" s="11" t="inlineStr">
        <is>
          <t>TBD</t>
        </is>
      </c>
      <c r="G6" s="12" t="inlineStr">
        <is>
          <t>Módulo de trazabilidad diaria y reportes EOD para supervisión de hitos y resolución de bloqueos.</t>
        </is>
      </c>
      <c r="H6" s="11" t="inlineStr">
        <is>
          <t>Media</t>
        </is>
      </c>
      <c r="I6" s="11" t="n">
        <v>5</v>
      </c>
      <c r="J6" s="11" t="n">
        <v>30</v>
      </c>
      <c r="K6" s="13" t="n">
        <v>46113</v>
      </c>
      <c r="L6" s="13" t="n">
        <v>46142</v>
      </c>
      <c r="M6" s="11" t="inlineStr">
        <is>
          <t>Sprint 02</t>
        </is>
      </c>
      <c r="N6" s="6" t="inlineStr">
        <is>
          <t>Completed</t>
        </is>
      </c>
      <c r="O6" s="12" t="inlineStr">
        <is>
          <t>Área Técnica Innovación</t>
        </is>
      </c>
      <c r="P6" s="12" t="inlineStr">
        <is>
          <t>• Bitácoras diarias operativas.
• Endpoints EOD funcionales.</t>
        </is>
      </c>
      <c r="Q6" s="12" t="inlineStr">
        <is>
          <t>Router daily_log / eod</t>
        </is>
      </c>
    </row>
    <row r="7" ht="24" customHeight="1">
      <c r="A7" s="4" t="n">
        <v>6</v>
      </c>
      <c r="B7" s="14" t="inlineStr">
        <is>
          <t>Canvas Desktop / Simbología</t>
        </is>
      </c>
      <c r="C7" s="14" t="inlineStr">
        <is>
          <t>User Story</t>
        </is>
      </c>
      <c r="D7" s="14" t="inlineStr">
        <is>
          <t>Como analista de procesos, quiero modelar flujos de trabajo con simbología oficial.</t>
        </is>
      </c>
      <c r="E7" s="14" t="inlineStr">
        <is>
          <t>1. Diseñar lienzo básico de dibujo.
2. Crear catálogo de símbolos oficiales.
3. Validar exportación de diagramas.</t>
        </is>
      </c>
      <c r="F7" s="4" t="inlineStr">
        <is>
          <t>TBD</t>
        </is>
      </c>
      <c r="G7" s="14" t="inlineStr">
        <is>
          <t>Primer motor de dibujo de procesos de escritorio para validación preliminar de simbología.</t>
        </is>
      </c>
      <c r="H7" s="4" t="inlineStr">
        <is>
          <t>Media</t>
        </is>
      </c>
      <c r="I7" s="4" t="n">
        <v>8</v>
      </c>
      <c r="J7" s="4" t="n">
        <v>45</v>
      </c>
      <c r="K7" s="15" t="n">
        <v>46143</v>
      </c>
      <c r="L7" s="15" t="n">
        <v>46203</v>
      </c>
      <c r="M7" s="4" t="inlineStr">
        <is>
          <t>Sprint 03</t>
        </is>
      </c>
      <c r="N7" s="6" t="inlineStr">
        <is>
          <t>Completed</t>
        </is>
      </c>
      <c r="O7" s="14" t="inlineStr">
        <is>
          <t>Área Técnica Innovación</t>
        </is>
      </c>
      <c r="P7" s="14" t="inlineStr">
        <is>
          <t>• Catálogo de figuras oficiales probado.
• Guardado local de flujos validado.</t>
        </is>
      </c>
      <c r="Q7" s="14" t="inlineStr">
        <is>
          <t>Desktop Canvas v1.0</t>
        </is>
      </c>
    </row>
    <row r="8" ht="24" customHeight="1">
      <c r="A8" s="11" t="n">
        <v>7</v>
      </c>
      <c r="B8" s="12" t="inlineStr">
        <is>
          <t>FastAPI / Backend REST</t>
        </is>
      </c>
      <c r="C8" s="12" t="inlineStr">
        <is>
          <t>Architecture</t>
        </is>
      </c>
      <c r="D8" s="12" t="inlineStr">
        <is>
          <t>Como desarrollador, quiero desacoplar el motor de datos en una API REST FastAPI.</t>
        </is>
      </c>
      <c r="E8" s="12" t="inlineStr">
        <is>
          <t>1. Crear backend modular en FastAPI.
2. Definir routers: projects, diagrams, auth, phases, members, shared_db.
3. Habilitar CORS y soporte UTF-8 en Windows.</t>
        </is>
      </c>
      <c r="F8" s="11" t="inlineStr">
        <is>
          <t>TBD</t>
        </is>
      </c>
      <c r="G8" s="12" t="inlineStr">
        <is>
          <t>Construcción de la capa de microservicios FastAPI (temis-backend) lista para despliegue en la nube.</t>
        </is>
      </c>
      <c r="H8" s="11" t="inlineStr">
        <is>
          <t>Alta</t>
        </is>
      </c>
      <c r="I8" s="11" t="n">
        <v>8</v>
      </c>
      <c r="J8" s="11" t="n">
        <v>50</v>
      </c>
      <c r="K8" s="13" t="n">
        <v>46204</v>
      </c>
      <c r="L8" s="13" t="n">
        <v>46260</v>
      </c>
      <c r="M8" s="11" t="inlineStr">
        <is>
          <t>Sprint 04</t>
        </is>
      </c>
      <c r="N8" s="6" t="inlineStr">
        <is>
          <t>Completed</t>
        </is>
      </c>
      <c r="O8" s="12" t="inlineStr">
        <is>
          <t>Área Técnica Innovación</t>
        </is>
      </c>
      <c r="P8" s="12" t="inlineStr">
        <is>
          <t>• FastAPI server corriendo en puerto 8000.
• Routers modulares e inyección de DB.</t>
        </is>
      </c>
      <c r="Q8" s="12" t="inlineStr">
        <is>
          <t>FastAPI Backend Core</t>
        </is>
      </c>
    </row>
    <row r="9" ht="24" customHeight="1">
      <c r="A9" s="16" t="n">
        <v>8</v>
      </c>
      <c r="B9" s="17" t="inlineStr">
        <is>
          <t>Reflex Web SaaS Cloud</t>
        </is>
      </c>
      <c r="C9" s="17" t="inlineStr">
        <is>
          <t>Epic / HITO</t>
        </is>
      </c>
      <c r="D9" s="18" t="inlineStr">
        <is>
          <t>Como usuario, quiero acceder a TEMIS desde el navegador web con renderizado reactivo y sin instalar aplicaciones locales.</t>
        </is>
      </c>
      <c r="E9" s="18" t="inlineStr">
        <is>
          <t>1. Reestructurar el proyecto de Windows Desktop a Web App con Reflex Python.
2. Crear temis_web con layout responsivo.
3. Desplegar Blueprint en Render Cloud (temis-web-flow).
4. Conectar base de datos administrada PostgreSQL 18.</t>
        </is>
      </c>
      <c r="F9" s="19" t="inlineStr">
        <is>
          <t>TBD</t>
        </is>
      </c>
      <c r="G9" s="18" t="inlineStr">
        <is>
          <t>🔥 HITO ARQUITECTÓNICO CLAVE: Transformación completa de aplicación de escritorio Windows a plataforma Web SaaS Full-Stack Cloud en Render con Reflex, FastAPI y PostgreSQL.</t>
        </is>
      </c>
      <c r="H9" s="19" t="inlineStr">
        <is>
          <t>Alta</t>
        </is>
      </c>
      <c r="I9" s="19" t="n">
        <v>21</v>
      </c>
      <c r="J9" s="19" t="n">
        <v>90</v>
      </c>
      <c r="K9" s="20" t="n">
        <v>46261</v>
      </c>
      <c r="L9" s="20" t="n">
        <v>46261</v>
      </c>
      <c r="M9" s="19" t="inlineStr">
        <is>
          <t>Sprint 05</t>
        </is>
      </c>
      <c r="N9" s="6" t="inlineStr">
        <is>
          <t>Completed</t>
        </is>
      </c>
      <c r="O9" s="18" t="inlineStr">
        <is>
          <t>Área Técnica Innovación</t>
        </is>
      </c>
      <c r="P9" s="18" t="inlineStr">
        <is>
          <t>• Aplicación Web Reflex en línea (temis-web-flow.onrender.com).
• Backend FastAPI en línea (temis-backend.onrender.com).
• PostgreSQL 18 activo y sincronizado.</t>
        </is>
      </c>
      <c r="Q9" s="18" t="inlineStr">
        <is>
          <t>Commit fe136da, 4481522, 251c6e5, 66908f2</t>
        </is>
      </c>
    </row>
    <row r="10" ht="24" customHeight="1">
      <c r="A10" s="11" t="n">
        <v>9</v>
      </c>
      <c r="B10" s="12" t="inlineStr">
        <is>
          <t>Parser Lucidchart Determinista</t>
        </is>
      </c>
      <c r="C10" s="12" t="inlineStr">
        <is>
          <t>User Story</t>
        </is>
      </c>
      <c r="D10" s="12" t="inlineStr">
        <is>
          <t>Como usuario, quiero importar diagramas CSV/JSON de Lucidchart de más de 1,500 nodos sin depender de alucinaciones de IA.</t>
        </is>
      </c>
      <c r="E10" s="12" t="inlineStr">
        <is>
          <t>1. Construir parser nativo directo en Python (native_parser.py).
2. Detectar límites de página por registros Name == 'Page'.
3. Mapear 100% de conexiones entre columnas Id y Shape ID.
4. Separar 8 pestañas automáticas idénticas a Lucidchart.</t>
        </is>
      </c>
      <c r="F10" s="11" t="inlineStr">
        <is>
          <t>TBD</t>
        </is>
      </c>
      <c r="G10" s="12" t="inlineStr">
        <is>
          <t>Parser determinista de alto rendimiento que mapea 1,573 nodos y 640 conectores divididos en 8 pestañas exactas.</t>
        </is>
      </c>
      <c r="H10" s="11" t="inlineStr">
        <is>
          <t>Alta</t>
        </is>
      </c>
      <c r="I10" s="11" t="n">
        <v>13</v>
      </c>
      <c r="J10" s="11" t="n">
        <v>60</v>
      </c>
      <c r="K10" s="13" t="n">
        <v>46261</v>
      </c>
      <c r="L10" s="13" t="n">
        <v>46262</v>
      </c>
      <c r="M10" s="11" t="inlineStr">
        <is>
          <t>Sprint 05</t>
        </is>
      </c>
      <c r="N10" s="6" t="inlineStr">
        <is>
          <t>Completed</t>
        </is>
      </c>
      <c r="O10" s="12" t="inlineStr">
        <is>
          <t>Área Técnica Innovación</t>
        </is>
      </c>
      <c r="P10" s="12" t="inlineStr">
        <is>
          <t>• 8 Pestañas originales extraídas (Bloques As Is y To Be, Proceso N2, etc.).
• 640 conectores Bézier trazados al 100%.
• 0 alucinaciones de IA.</t>
        </is>
      </c>
      <c r="Q10" s="12" t="inlineStr">
        <is>
          <t>Commit 9f31c2f, 2000758, 9e8da71, 7bcb6ac, 55e43d8</t>
        </is>
      </c>
    </row>
    <row r="11" ht="24" customHeight="1">
      <c r="A11" s="4" t="n">
        <v>10</v>
      </c>
      <c r="B11" s="14" t="inlineStr">
        <is>
          <t>Lienzo SVG &amp; Zoom Infinito</t>
        </is>
      </c>
      <c r="C11" s="14" t="inlineStr">
        <is>
          <t>User Story</t>
        </is>
      </c>
      <c r="D11" s="14" t="inlineStr">
        <is>
          <t>Como diseñador de procesos, quiero un lienzo interactivo con curvas Bézier y zoom de 30% a 300% sin márgenes blancos.</t>
        </is>
      </c>
      <c r="E11" s="14" t="inlineStr">
        <is>
          <t>1. Implementar curvas SVG Bézier suaves con puntas de flecha azul.
2. Añadir transform: scale dinámico.
3. Eliminar márgenes blancos al alejar el zoom.
4. Fijo de barra de zoom flotante.</t>
        </is>
      </c>
      <c r="F11" s="4" t="inlineStr">
        <is>
          <t>TBD</t>
        </is>
      </c>
      <c r="G11" s="14" t="inlineStr">
        <is>
          <t>Lienzo vectorial responsivo de alta precisión con cálculo topológico y navegación fluida.</t>
        </is>
      </c>
      <c r="H11" s="4" t="inlineStr">
        <is>
          <t>Alta</t>
        </is>
      </c>
      <c r="I11" s="4" t="n">
        <v>8</v>
      </c>
      <c r="J11" s="4" t="n">
        <v>40</v>
      </c>
      <c r="K11" s="15" t="n">
        <v>46261</v>
      </c>
      <c r="L11" s="15" t="n">
        <v>46262</v>
      </c>
      <c r="M11" s="4" t="inlineStr">
        <is>
          <t>Sprint 05</t>
        </is>
      </c>
      <c r="N11" s="6" t="inlineStr">
        <is>
          <t>Completed</t>
        </is>
      </c>
      <c r="O11" s="14" t="inlineStr">
        <is>
          <t>Área Técnica Innovación</t>
        </is>
      </c>
      <c r="P11" s="14" t="inlineStr">
        <is>
          <t>• Zoom de 30% a 300% responsivo.
• Curvas Bézier suaves sin solapamientos.
• Pestañas del proyecto navegables.</t>
        </is>
      </c>
      <c r="Q11" s="14" t="inlineStr">
        <is>
          <t>Commit 60c915e, 70a72ca, ecc76fb, 41b5d0a, d332d20</t>
        </is>
      </c>
    </row>
    <row r="12" ht="24" customHeight="1">
      <c r="A12" s="11" t="n">
        <v>11</v>
      </c>
      <c r="B12" s="12" t="inlineStr">
        <is>
          <t>UI/UX Reingeniería Pro</t>
        </is>
      </c>
      <c r="C12" s="12" t="inlineStr">
        <is>
          <t>Epic</t>
        </is>
      </c>
      <c r="D12" s="12" t="inlineStr">
        <is>
          <t>Como usuario, quiero una interfaz moderna tipo suite (Lucidchart/Figma) con dock de formas e inspector contextual.</t>
        </is>
      </c>
      <c r="E12" s="12" t="inlineStr">
        <is>
          <t>1. Unificar 3 cabeceras en 1 sola barra superior minimalista (50px).
2. Crear Dock Izquierdo de formas (BPMN, Sistemas, Canales).
3. Crear Inspector Contextual Derecho para edición sin modales.
4. Mover navegación de pestañas y zoom a la barra inferior.</t>
        </is>
      </c>
      <c r="F12" s="11" t="inlineStr">
        <is>
          <t>TBD</t>
        </is>
      </c>
      <c r="G12" s="12" t="inlineStr">
        <is>
          <t>Reingeniería UI/UX integral para maximizar el espacio del lienzo (+25% área útil) y ofrecer ergonomía tipo suite profesional.</t>
        </is>
      </c>
      <c r="H12" s="11" t="inlineStr">
        <is>
          <t>Alta</t>
        </is>
      </c>
      <c r="I12" s="11" t="n">
        <v>13</v>
      </c>
      <c r="J12" s="11" t="n">
        <v>55</v>
      </c>
      <c r="K12" s="13" t="n">
        <v>46266</v>
      </c>
      <c r="L12" s="13" t="n">
        <v>46275</v>
      </c>
      <c r="M12" s="11" t="inlineStr">
        <is>
          <t>Sprint 06</t>
        </is>
      </c>
      <c r="N12" s="6" t="inlineStr">
        <is>
          <t>Completed</t>
        </is>
      </c>
      <c r="O12" s="12" t="inlineStr">
        <is>
          <t>Área Técnica Innovación</t>
        </is>
      </c>
      <c r="P12" s="12" t="inlineStr">
        <is>
          <t>• Header 50px con menú Archivo y IA.
• Dock izquierdo de simbología operativo.
• Inspector derecho contextual funcional.
• Barra inferior con pestañas y zoom.</t>
        </is>
      </c>
      <c r="Q12" s="12" t="inlineStr">
        <is>
          <t>Commit 9805816, 2f8a70d</t>
        </is>
      </c>
    </row>
    <row r="13" ht="24" customHeight="1">
      <c r="A13" s="4" t="n">
        <v>12</v>
      </c>
      <c r="B13" s="14" t="inlineStr">
        <is>
          <t>Conexión Interactiva de Nodos</t>
        </is>
      </c>
      <c r="C13" s="14" t="inlineStr">
        <is>
          <t>User Story</t>
        </is>
      </c>
      <c r="D13" s="14" t="inlineStr">
        <is>
          <t>Como usuario, quiero conectar casillas interactivamente desde la pantalla asignando etiquetas de decisión.</t>
        </is>
      </c>
      <c r="E13" s="14" t="inlineStr">
        <is>
          <t>1. Crear diálogo interactivo Conectar Nodos.
2. Selector de nodo destino y etiqueta (Sí, No, Válido).
3. Ruteo perimetral exacto Este-Oeste.
4. Eliminación directa de conectores.</t>
        </is>
      </c>
      <c r="F13" s="4" t="inlineStr">
        <is>
          <t>TBD</t>
        </is>
      </c>
      <c r="G13" s="14" t="inlineStr">
        <is>
          <t>Herramienta de conexión rápida entre casillas que calcula automáticamente el anclaje perimetral para evitar cruces de texto.</t>
        </is>
      </c>
      <c r="H13" s="4" t="inlineStr">
        <is>
          <t>Alta</t>
        </is>
      </c>
      <c r="I13" s="4" t="n">
        <v>8</v>
      </c>
      <c r="J13" s="4" t="n">
        <v>35</v>
      </c>
      <c r="K13" s="15" t="n">
        <v>46275</v>
      </c>
      <c r="L13" s="15" t="n">
        <v>46275</v>
      </c>
      <c r="M13" s="4" t="inlineStr">
        <is>
          <t>Sprint 06</t>
        </is>
      </c>
      <c r="N13" s="6" t="inlineStr">
        <is>
          <t>Completed</t>
        </is>
      </c>
      <c r="O13" s="14" t="inlineStr">
        <is>
          <t>Área Técnica Innovación</t>
        </is>
      </c>
      <c r="P13" s="14" t="inlineStr">
        <is>
          <t>• Botón [🔗 Conectar Nodos] en inspector y canvas.
• Líneas Bézier generadas al instante.
• Anclaje Este ➔ Oeste exacto.</t>
        </is>
      </c>
      <c r="Q13" s="14" t="inlineStr">
        <is>
          <t>Commit 592127e, 7bc6e6a, 3e76b5d</t>
        </is>
      </c>
    </row>
    <row r="14" ht="24" customHeight="1">
      <c r="A14" s="11" t="n">
        <v>13</v>
      </c>
      <c r="B14" s="12" t="inlineStr">
        <is>
          <t>Auditor de Procesos IA (Gemini)</t>
        </is>
      </c>
      <c r="C14" s="12" t="inlineStr">
        <is>
          <t>User Story</t>
        </is>
      </c>
      <c r="D14" s="12" t="inlineStr">
        <is>
          <t>Como auditor de calidad, quiero que una IA evalúe la integridad de los diagramas y detecte decisiones incompletas o riesgos.</t>
        </is>
      </c>
      <c r="E14" s="12" t="inlineStr">
        <is>
          <t>1. Crear motor de auditoría estructural y gobernanza.
2. Validar salidas obligatorias de decisiones (Sí/No).
3. Verificar asignación de sistemas (Chronos) y canales (WhatsApp).
4. Mostrar reporte con Puntaje de Calidad (0-100) y recomendaciones.</t>
        </is>
      </c>
      <c r="F14" s="11" t="inlineStr">
        <is>
          <t>TBD</t>
        </is>
      </c>
      <c r="G14" s="12" t="inlineStr">
        <is>
          <t>Agente inteligente de gobierno que analiza la pestaña activa, califica el cumplimiento metodológico y sugiere correcciones con 1 clic.</t>
        </is>
      </c>
      <c r="H14" s="11" t="inlineStr">
        <is>
          <t>Alta</t>
        </is>
      </c>
      <c r="I14" s="11" t="n">
        <v>8</v>
      </c>
      <c r="J14" s="11" t="n">
        <v>35</v>
      </c>
      <c r="K14" s="13" t="n">
        <v>46275</v>
      </c>
      <c r="L14" s="13" t="n">
        <v>46275</v>
      </c>
      <c r="M14" s="11" t="inlineStr">
        <is>
          <t>Sprint 06</t>
        </is>
      </c>
      <c r="N14" s="6" t="inlineStr">
        <is>
          <t>Completed</t>
        </is>
      </c>
      <c r="O14" s="12" t="inlineStr">
        <is>
          <t>Área Técnica Innovación</t>
        </is>
      </c>
      <c r="P14" s="12" t="inlineStr">
        <is>
          <t>• Botón [🛡️ Auditar con IA] en header.
• Calificación de 0 a 100 en tiempo real.
• Recomendaciones de gobierno estructuradas.</t>
        </is>
      </c>
      <c r="Q14" s="12" t="inlineStr">
        <is>
          <t>Commit 592127e</t>
        </is>
      </c>
    </row>
    <row r="15" ht="24" customHeight="1">
      <c r="A15" s="4" t="n">
        <v>14</v>
      </c>
      <c r="B15" s="14" t="inlineStr">
        <is>
          <t>Exportador Gráfico PNG/PDF Pro</t>
        </is>
      </c>
      <c r="C15" s="14" t="inlineStr">
        <is>
          <t>User Story</t>
        </is>
      </c>
      <c r="D15" s="14" t="inlineStr">
        <is>
          <t>Como PM, quiero exportar la pestaña activa en imagen PNG de alta resolución o PDF vectorial para presentaciones.</t>
        </is>
      </c>
      <c r="E15" s="14" t="inlineStr">
        <is>
          <t>1. Integrar renderizado cliente a PNG (html2canvas / svg-to-png).
2. Crear exportador a PDF vectorial con encabezados corporativos.
3. Añadir botón en menú Archivo ▾.</t>
        </is>
      </c>
      <c r="F15" s="4" t="inlineStr">
        <is>
          <t>TBD</t>
        </is>
      </c>
      <c r="G15" s="14" t="inlineStr">
        <is>
          <t>Módulo de exportación visual de alta definición listo para informes ejecutivos y entregables de gobernanza.</t>
        </is>
      </c>
      <c r="H15" s="4" t="inlineStr">
        <is>
          <t>Media</t>
        </is>
      </c>
      <c r="I15" s="4" t="n">
        <v>5</v>
      </c>
      <c r="J15" s="4" t="n">
        <v>25</v>
      </c>
      <c r="K15" s="15" t="n">
        <v>46281</v>
      </c>
      <c r="L15" s="15" t="inlineStr">
        <is>
          <t>2026-09-30 00:00:00</t>
        </is>
      </c>
      <c r="M15" s="4" t="inlineStr">
        <is>
          <t>Sprint 07</t>
        </is>
      </c>
      <c r="N15" s="8" t="inlineStr">
        <is>
          <t>Completed</t>
        </is>
      </c>
      <c r="O15" s="14" t="inlineStr">
        <is>
          <t>Área Técnica Innovación</t>
        </is>
      </c>
      <c r="P15" s="14" t="inlineStr">
        <is>
          <t>• Exportación a PNG 300 DPI.
• Exportación a PDF con membrete oficial.</t>
        </is>
      </c>
      <c r="Q15" s="14" t="inlineStr">
        <is>
          <t>Sprint 07 Deliverable</t>
        </is>
      </c>
    </row>
    <row r="16" ht="24" customHeight="1">
      <c r="A16" s="11" t="n">
        <v>15</v>
      </c>
      <c r="B16" s="12" t="inlineStr">
        <is>
          <t>Auto-Guardado PostgreSQL Cloud</t>
        </is>
      </c>
      <c r="C16" s="12" t="inlineStr">
        <is>
          <t>User Story</t>
        </is>
      </c>
      <c r="D16" s="12" t="inlineStr">
        <is>
          <t>Como usuario, quiero que mis cambios se sincronicen automáticamente en la base de datos sin temor a perder información.</t>
        </is>
      </c>
      <c r="E16" s="12" t="inlineStr">
        <is>
          <t>1. Implementar debounced auto-save (2 seg tras edición).
2. Sincronizar nodos y aristas con PostgreSQL en Render.
3. Badge en tiempo real [✓ Cambios Guardados].</t>
        </is>
      </c>
      <c r="F16" s="11" t="inlineStr">
        <is>
          <t>TBD</t>
        </is>
      </c>
      <c r="G16" s="12" t="inlineStr">
        <is>
          <t>Persistencia continua en PostgreSQL administrado en Render con confirmación visual de guardado.</t>
        </is>
      </c>
      <c r="H16" s="11" t="inlineStr">
        <is>
          <t>Alta</t>
        </is>
      </c>
      <c r="I16" s="11" t="n">
        <v>5</v>
      </c>
      <c r="J16" s="11" t="n">
        <v>25</v>
      </c>
      <c r="K16" s="13" t="n">
        <v>46281</v>
      </c>
      <c r="L16" s="13" t="inlineStr">
        <is>
          <t>2026-09-30 00:00:00</t>
        </is>
      </c>
      <c r="M16" s="11" t="inlineStr">
        <is>
          <t>Sprint 07</t>
        </is>
      </c>
      <c r="N16" s="8" t="inlineStr">
        <is>
          <t>Completed</t>
        </is>
      </c>
      <c r="O16" s="12" t="inlineStr">
        <is>
          <t>Área Técnica Innovación</t>
        </is>
      </c>
      <c r="P16" s="12" t="inlineStr">
        <is>
          <t>• Auto-guardado en segundo plano activo.
• Estado de sincronización en header.</t>
        </is>
      </c>
      <c r="Q16" s="12" t="inlineStr">
        <is>
          <t>Sprint 07 Deliverable</t>
        </is>
      </c>
    </row>
    <row r="17" ht="24" customHeight="1">
      <c r="A17" s="4" t="n">
        <v>16</v>
      </c>
      <c r="B17" s="14" t="inlineStr">
        <is>
          <t>Auto-Layout de Swimlanes</t>
        </is>
      </c>
      <c r="C17" s="14" t="inlineStr">
        <is>
          <t>User Story</t>
        </is>
      </c>
      <c r="D17" s="14" t="inlineStr">
        <is>
          <t>Como analista, quiero que los carriles (swimlanes) se organicen y ajusten automáticamente según los actores del flujo.</t>
        </is>
      </c>
      <c r="E17" s="14" t="inlineStr">
        <is>
          <t>1. Detección automática de actores en nodos.
2. Generación dinámica de columnas de carriles.
3. Auto-alineación vertical de casillas.</t>
        </is>
      </c>
      <c r="F17" s="4" t="inlineStr">
        <is>
          <t>TBD</t>
        </is>
      </c>
      <c r="G17" s="14" t="inlineStr">
        <is>
          <t>Algoritmo de distribución y alineación automática de carriles operativos para diagramas complejos.</t>
        </is>
      </c>
      <c r="H17" s="4" t="inlineStr">
        <is>
          <t>Media</t>
        </is>
      </c>
      <c r="I17" s="4" t="n">
        <v>8</v>
      </c>
      <c r="J17" s="4" t="n">
        <v>35</v>
      </c>
      <c r="K17" s="15" t="n">
        <v>46296</v>
      </c>
      <c r="L17" s="15" t="n">
        <v>46326</v>
      </c>
      <c r="M17" s="4" t="inlineStr">
        <is>
          <t>Sprint 08</t>
        </is>
      </c>
      <c r="N17" s="9" t="inlineStr">
        <is>
          <t>Planned</t>
        </is>
      </c>
      <c r="O17" s="14" t="inlineStr">
        <is>
          <t>Área Técnica Innovación</t>
        </is>
      </c>
      <c r="P17" s="14" t="inlineStr">
        <is>
          <t>• Carriles ajustados automáticamente.
• Layout limpio por actor y sistema.</t>
        </is>
      </c>
      <c r="Q17" s="14" t="inlineStr">
        <is>
          <t>Sprint 08 Deliverable</t>
        </is>
      </c>
    </row>
    <row r="18" ht="24" customHeight="1">
      <c r="A18" s="11" t="n">
        <v>17</v>
      </c>
      <c r="B18" s="12" t="inlineStr">
        <is>
          <t>Respaldo Unidad Compartida Google Drive</t>
        </is>
      </c>
      <c r="C18" s="12" t="inlineStr">
        <is>
          <t>User Story</t>
        </is>
      </c>
      <c r="D18" s="12" t="inlineStr">
        <is>
          <t>Como oficial de seguridad, quiero respaldos automáticos de proyectos en una Unidad Compartida de Google Drive mediante Service Account.</t>
        </is>
      </c>
      <c r="E18" s="12" t="inlineStr">
        <is>
          <t>1. Integrar Google Drive API v3 con supportsAllDrives=True.
2. Conectar Service Account (maxibot-sa).
3. Exportar paquetes versionados .temis.json a carpetas de Drive.</t>
        </is>
      </c>
      <c r="F18" s="11" t="inlineStr">
        <is>
          <t>TBD</t>
        </is>
      </c>
      <c r="G18" s="12" t="inlineStr">
        <is>
          <t>Respaldo y versionado documental corporativo en Google Workspace Shared Drive sin intervención manual.</t>
        </is>
      </c>
      <c r="H18" s="11" t="inlineStr">
        <is>
          <t>Alta</t>
        </is>
      </c>
      <c r="I18" s="11" t="n">
        <v>8</v>
      </c>
      <c r="J18" s="11" t="n">
        <v>30</v>
      </c>
      <c r="K18" s="13" t="n">
        <v>46327</v>
      </c>
      <c r="L18" s="13" t="n">
        <v>46346</v>
      </c>
      <c r="M18" s="11" t="inlineStr">
        <is>
          <t>Sprint 09</t>
        </is>
      </c>
      <c r="N18" s="9" t="inlineStr">
        <is>
          <t>Planned</t>
        </is>
      </c>
      <c r="O18" s="12" t="inlineStr">
        <is>
          <t>Área Técnica Innovación</t>
        </is>
      </c>
      <c r="P18" s="12" t="inlineStr">
        <is>
          <t>• Service Account conectada a Unidad Compartida.
• Respaldo automático de proyectos .temis.json.</t>
        </is>
      </c>
      <c r="Q18" s="12" t="inlineStr">
        <is>
          <t>Sprint 09 Deliverable</t>
        </is>
      </c>
    </row>
    <row r="19" ht="24" customHeight="1">
      <c r="A19" s="4" t="n">
        <v>18</v>
      </c>
      <c r="B19" s="14" t="inlineStr">
        <is>
          <t>QA Integral, Carga &amp; Cierre de Proyecto</t>
        </is>
      </c>
      <c r="C19" s="14" t="inlineStr">
        <is>
          <t>Epic / ENTREGA FINAL</t>
        </is>
      </c>
      <c r="D19" s="14" t="inlineStr">
        <is>
          <t>Como patrocinador del proyecto, quiero certificar el rendimiento, seguridad y manuales de TEMIS para la entrega final formal.</t>
        </is>
      </c>
      <c r="E19" s="14" t="inlineStr">
        <is>
          <t>1. Pruebas de carga con diagramas de más de 2,000 nodos.
2. Pruebas de seguridad y auditoría de accesos.
3. Elaboración de Manual de Usuario y Manual Técnico.
4. Acta de Cierre de Proyecto (Fase 7 de Gobernanza).</t>
        </is>
      </c>
      <c r="F19" s="4" t="inlineStr">
        <is>
          <t>TBD</t>
        </is>
      </c>
      <c r="G19" s="14" t="inlineStr">
        <is>
          <t>Cierre formal del proyecto TEMIS: certificación de calidad, entrega de documentación y pase a operación definitiva.</t>
        </is>
      </c>
      <c r="H19" s="4" t="inlineStr">
        <is>
          <t>Alta</t>
        </is>
      </c>
      <c r="I19" s="4" t="n">
        <v>8</v>
      </c>
      <c r="J19" s="4" t="n">
        <v>35</v>
      </c>
      <c r="K19" s="15" t="n">
        <v>46347</v>
      </c>
      <c r="L19" s="15" t="n">
        <v>46360</v>
      </c>
      <c r="M19" s="4" t="inlineStr">
        <is>
          <t>Sprint 10</t>
        </is>
      </c>
      <c r="N19" s="9" t="inlineStr">
        <is>
          <t>Planned</t>
        </is>
      </c>
      <c r="O19" s="14" t="inlineStr">
        <is>
          <t>Área Técnica Innovación</t>
        </is>
      </c>
      <c r="P19" s="14" t="inlineStr">
        <is>
          <t>• Certificación de pruebas de estrés exitosa.
• Manuales de usuario y técnicos entregados.
• Acta de Cierre de Proyecto firmada (04 Dic 2026).</t>
        </is>
      </c>
      <c r="Q19" s="14" t="inlineStr">
        <is>
          <t>Sprint 10 Final Release</t>
        </is>
      </c>
    </row>
    <row r="20">
      <c r="A20" s="35" t="inlineStr">
        <is>
          <t>19</t>
        </is>
      </c>
      <c r="B20" s="36" t="inlineStr">
        <is>
          <t>🔥 Media Studio Desktop / Whisper &amp; Keyframes</t>
        </is>
      </c>
      <c r="C20" s="36" t="inlineStr">
        <is>
          <t>Epic / HITO GRANDE</t>
        </is>
      </c>
      <c r="D20" s="36" t="inlineStr">
        <is>
          <t>Como analista de procesos, quiero una suite de escritorio (TEMIS Media Studio) para transcribir grabaciones de entrevistas offline con Whisper y extraer capturas de pantalla HD automáticamente.</t>
        </is>
      </c>
      <c r="E20" s="36" t="inlineStr">
        <is>
          <t>1. Implementar motor Whisper local con faster-whisper. 2. Crear extractor inteligente de fotogramas clave por cambio de escena/sistema. 3. Empaquetar proyecto en archivo .zip con manifiesto .temis.json, subtítulos .vtt y capturas/ sin saturar la red.</t>
        </is>
      </c>
      <c r="F20" s="36" t="inlineStr">
        <is>
          <t>TBD</t>
        </is>
      </c>
      <c r="G20" s="36" t="inlineStr">
        <is>
          <t>Suite de escritorio offline en Python/FFmpeg para procesamiento multimedia local, transcripción sincronizada y captura de evidencias de alta resolución.</t>
        </is>
      </c>
      <c r="H20" s="35" t="inlineStr">
        <is>
          <t>Alta</t>
        </is>
      </c>
      <c r="I20" s="35" t="n">
        <v>15</v>
      </c>
      <c r="J20" s="35" t="n">
        <v>75</v>
      </c>
      <c r="K20" s="35" t="inlineStr">
        <is>
          <t>2026-09-16 00:00:00</t>
        </is>
      </c>
      <c r="L20" s="35" t="inlineStr">
        <is>
          <t>2026-09-24 00:00:00</t>
        </is>
      </c>
      <c r="M20" s="35" t="inlineStr">
        <is>
          <t>Sprint 07</t>
        </is>
      </c>
      <c r="N20" s="33" t="inlineStr">
        <is>
          <t>Completed</t>
        </is>
      </c>
      <c r="O20" s="36" t="inlineStr">
        <is>
          <t>Equipo Técnico TEMIS</t>
        </is>
      </c>
      <c r="P20" s="36" t="inlineStr">
        <is>
          <t>Suite ejecutable Windows offline, transcripción sin consumo de tokens y exportación de paquetes .zip con imágenes HD listas para web.</t>
        </is>
      </c>
      <c r="Q20" s="36" t="inlineStr">
        <is>
          <t>2e80a295, 9b64dc3a</t>
        </is>
      </c>
    </row>
    <row r="21">
      <c r="A21" s="37" t="inlineStr">
        <is>
          <t>20</t>
        </is>
      </c>
      <c r="B21" s="38" t="inlineStr">
        <is>
          <t>Ingesta ZIP &amp; Galería Keyframes Web</t>
        </is>
      </c>
      <c r="C21" s="39" t="inlineStr">
        <is>
          <t>User Story</t>
        </is>
      </c>
      <c r="D21" s="39" t="inlineStr">
        <is>
          <t>Como usuario de TEMIS Web, quiero subir el paquete .zip de Media Studio para que el sistema indexe la transcripción y muestre la galería de capturas de pantalla de evidencias.</t>
        </is>
      </c>
      <c r="E21" s="39" t="inlineStr">
        <is>
          <t>1. Crear parser de paquetes .zip en backend. 2. Implementar visor/galería de capturas de pantalla Base64 en frontend Reflex. 3. Habilitar drag-and-drop y progress spinner.</t>
        </is>
      </c>
      <c r="F21" s="39" t="inlineStr">
        <is>
          <t>TBD</t>
        </is>
      </c>
      <c r="G21" s="39" t="inlineStr">
        <is>
          <t>Servicio de descompresión e indexación en memoria de paquetes .zip con extracción de 500+ bloques de diálogo y galería de imágenes en Base64.</t>
        </is>
      </c>
      <c r="H21" s="37" t="inlineStr">
        <is>
          <t>Alta</t>
        </is>
      </c>
      <c r="I21" s="40" t="n">
        <v>8</v>
      </c>
      <c r="J21" s="40" t="n">
        <v>40</v>
      </c>
      <c r="K21" s="40" t="inlineStr">
        <is>
          <t>2026-09-20 00:00:00</t>
        </is>
      </c>
      <c r="L21" s="40" t="inlineStr">
        <is>
          <t>2026-09-26 00:00:00</t>
        </is>
      </c>
      <c r="M21" s="40" t="inlineStr">
        <is>
          <t>Sprint 07</t>
        </is>
      </c>
      <c r="N21" s="33" t="inlineStr">
        <is>
          <t>Completed</t>
        </is>
      </c>
      <c r="O21" s="39" t="inlineStr">
        <is>
          <t>Equipo Técnico TEMIS</t>
        </is>
      </c>
      <c r="P21" s="39" t="inlineStr">
        <is>
          <t>Ingesta fluida de ZIP con 500+ bloques y renderizado reactivo de capturas HD en tiempo real.</t>
        </is>
      </c>
      <c r="Q21" s="39" t="inlineStr">
        <is>
          <t>5061bb4a, da66633c, aa4e6bbb</t>
        </is>
      </c>
    </row>
    <row r="22">
      <c r="A22" s="41" t="inlineStr">
        <is>
          <t>21</t>
        </is>
      </c>
      <c r="B22" s="42" t="inlineStr">
        <is>
          <t>Plantilla Maestra Word Oficial (.docx)</t>
        </is>
      </c>
      <c r="C22" s="43" t="inlineStr">
        <is>
          <t>User Story</t>
        </is>
      </c>
      <c r="D22" s="43" t="inlineStr">
        <is>
          <t>Como Jefa de Procesos, quiero que TEMIS genere el Manual de Procedimientos oficial en Word (.docx) cumpliendo al 100% la plantilla maestra corporativa con 4 tablas y evidencias visuales incrustadas.</t>
        </is>
      </c>
      <c r="E22" s="43" t="inlineStr">
        <is>
          <t>1. Implementar motor de población sobre Plantilla_Maestra_Oficial_Work_Instructions_TEMIS.docx. 2. Mapear las 4 tablas (Overview, Legal, Actividades, Firmas) con colores institucionales (#0047C7, #98D801, #E2EFD9, #E2E2E2). 3. Incrustar capturas HD en la columna Record Control.</t>
        </is>
      </c>
      <c r="F22" s="43" t="inlineStr">
        <is>
          <t>TBD</t>
        </is>
      </c>
      <c r="G22" s="43" t="inlineStr">
        <is>
          <t>Motor de plantillas dinámico en python-docx con clonación XML de filas de actividad, tipografía Poppins 9pt e incrustación de capturas de pantalla de sistemas en Record Control.</t>
        </is>
      </c>
      <c r="H22" s="41" t="inlineStr">
        <is>
          <t>Alta</t>
        </is>
      </c>
      <c r="I22" s="44" t="n">
        <v>13</v>
      </c>
      <c r="J22" s="44" t="n">
        <v>65</v>
      </c>
      <c r="K22" s="44" t="inlineStr">
        <is>
          <t>2026-09-22 00:00:00</t>
        </is>
      </c>
      <c r="L22" s="44" t="inlineStr">
        <is>
          <t>2026-09-29 00:00:00</t>
        </is>
      </c>
      <c r="M22" s="44" t="inlineStr">
        <is>
          <t>Sprint 07</t>
        </is>
      </c>
      <c r="N22" s="33" t="inlineStr">
        <is>
          <t>Completed</t>
        </is>
      </c>
      <c r="O22" s="43" t="inlineStr">
        <is>
          <t>Equipo Técnico TEMIS</t>
        </is>
      </c>
      <c r="P22" s="43" t="inlineStr">
        <is>
          <t>Descarga de DOCX oficial idéntico al estándar SAR 90 días con imágenes HD incrustadas, paleta oficial y firmas de aprobación.</t>
        </is>
      </c>
      <c r="Q22" s="43" t="inlineStr">
        <is>
          <t>fc7c0eff, 1fcd3fde</t>
        </is>
      </c>
    </row>
    <row r="23">
      <c r="A23" s="37" t="inlineStr">
        <is>
          <t>22</t>
        </is>
      </c>
      <c r="B23" s="38" t="inlineStr">
        <is>
          <t>Exportador Excel SIPOC Oficial</t>
        </is>
      </c>
      <c r="C23" s="39" t="inlineStr">
        <is>
          <t>User Story</t>
        </is>
      </c>
      <c r="D23" s="39" t="inlineStr">
        <is>
          <t>Como analista de procesos, quiero exportar la Matriz SIPOC a un archivo Excel idéntico a Plantilla Matriz Sipoc.xlsx con tipografía Century Gothic y 11 columnas B-K.</t>
        </is>
      </c>
      <c r="E23" s="39" t="inlineStr">
        <is>
          <t>1. Crear servicio sipoc_exporter.py con formato estandarizado. 2. Configurar estructura 1.0..N, cintillo de Requisitos del Cliente y paleta oficial. 3. Añadir botón de descarga directa en UI.</t>
        </is>
      </c>
      <c r="F23" s="39" t="inlineStr">
        <is>
          <t>TBD</t>
        </is>
      </c>
      <c r="G23" s="39" t="inlineStr">
        <is>
          <t>Servicio de exportación en openpyxl que genera matrices SIPOC con diseño corporativo estandarizado (11 columnas pareadas B-K, numeración 1.0 a N y estilos institucionales).</t>
        </is>
      </c>
      <c r="H23" s="37" t="inlineStr">
        <is>
          <t>Media</t>
        </is>
      </c>
      <c r="I23" s="40" t="n">
        <v>5</v>
      </c>
      <c r="J23" s="40" t="n">
        <v>25</v>
      </c>
      <c r="K23" s="40" t="inlineStr">
        <is>
          <t>2026-09-25 00:00:00</t>
        </is>
      </c>
      <c r="L23" s="40" t="inlineStr">
        <is>
          <t>2026-09-29 00:00:00</t>
        </is>
      </c>
      <c r="M23" s="40" t="inlineStr">
        <is>
          <t>Sprint 07</t>
        </is>
      </c>
      <c r="N23" s="33" t="inlineStr">
        <is>
          <t>Completed</t>
        </is>
      </c>
      <c r="O23" s="39" t="inlineStr">
        <is>
          <t>Equipo Técnico TEMIS</t>
        </is>
      </c>
      <c r="P23" s="39" t="inlineStr">
        <is>
          <t>Archivo .xlsx generado idéntico a Plantilla Matriz Sipoc.xlsx listo para entrega a clientes y directores.</t>
        </is>
      </c>
      <c r="Q23" s="39" t="inlineStr">
        <is>
          <t>fc7c0eff</t>
        </is>
      </c>
    </row>
    <row r="24">
      <c r="A24" s="41" t="inlineStr">
        <is>
          <t>23</t>
        </is>
      </c>
      <c r="B24" s="42" t="inlineStr">
        <is>
          <t>Ingesta Multi-Documento &amp; IA Gemini 2.5</t>
        </is>
      </c>
      <c r="C24" s="43" t="inlineStr">
        <is>
          <t>User Story</t>
        </is>
      </c>
      <c r="D24" s="43" t="inlineStr">
        <is>
          <t>Como analista, quiero cargar múltiples documentos (entrevista + anexos) para que Gemini 2.5 enriquezca incrementalmente el proceso con citas y puntos de aclaración.</t>
        </is>
      </c>
      <c r="E24" s="43" t="inlineStr">
        <is>
          <t>1. Implementar narrative_ai_extractor.py con fusión incremental. 2. Detectar puntos pendientes de aclaración con cliente. 3. Soportar transcripciones masivas con Gemini File API.</t>
        </is>
      </c>
      <c r="F24" s="43" t="inlineStr">
        <is>
          <t>TBD</t>
        </is>
      </c>
      <c r="G24" s="43" t="inlineStr">
        <is>
          <t>Motor de enriquecimiento cognitivo con Gemini 2.5 Flash, trazabilidad de citas por párrafo de origen y generación de matriz dual AS-IS / TO-BE.</t>
        </is>
      </c>
      <c r="H24" s="41" t="inlineStr">
        <is>
          <t>Alta</t>
        </is>
      </c>
      <c r="I24" s="44" t="n">
        <v>8</v>
      </c>
      <c r="J24" s="44" t="n">
        <v>40</v>
      </c>
      <c r="K24" s="44" t="inlineStr">
        <is>
          <t>2026-09-24 00:00:00</t>
        </is>
      </c>
      <c r="L24" s="44" t="inlineStr">
        <is>
          <t>2026-09-30 00:00:00</t>
        </is>
      </c>
      <c r="M24" s="44" t="inlineStr">
        <is>
          <t>Sprint 07</t>
        </is>
      </c>
      <c r="N24" s="33" t="inlineStr">
        <is>
          <t>Completed</t>
        </is>
      </c>
      <c r="O24" s="43" t="inlineStr">
        <is>
          <t>Equipo Técnico TEMIS</t>
        </is>
      </c>
      <c r="P24" s="43" t="inlineStr">
        <is>
          <t>Fusión de documentos base + anexos sin duplicar pasos, detección de aclaraciones y generación de dual SIPOC/BPMN.</t>
        </is>
      </c>
      <c r="Q24" s="43" t="inlineStr">
        <is>
          <t>7229b48e, 3d0d6ded, 92be41e7</t>
        </is>
      </c>
    </row>
    <row r="25">
      <c r="A25" s="37" t="inlineStr">
        <is>
          <t>24</t>
        </is>
      </c>
      <c r="B25" s="38" t="inlineStr">
        <is>
          <t>Pruebas de Usuario (UAT) &amp; Validación</t>
        </is>
      </c>
      <c r="C25" s="39" t="inlineStr">
        <is>
          <t>User Story</t>
        </is>
      </c>
      <c r="D25" s="39" t="inlineStr">
        <is>
          <t>Como equipo de procesos y Jefa de Área, queremos realizar sesiones de prueba en vivo (UAT) del flujo completo (Entrevista -&gt; SIPOC -&gt; Flujo -&gt; Word) para validar usabilidad y rendimiento.</t>
        </is>
      </c>
      <c r="E25" s="39" t="inlineStr">
        <is>
          <t>1. Ejecutar pruebas con casos de negocio reales (ej. SAR 90 días). 2. Validar edición manual en cada fase del pipeline. 3. Recopilar observaciones y mejoras de interfaz.</t>
        </is>
      </c>
      <c r="F25" s="39" t="inlineStr">
        <is>
          <t>TBD</t>
        </is>
      </c>
      <c r="G25" s="39" t="inlineStr">
        <is>
          <t>Protocolo de pruebas de aceptación de usuario (UAT) en entorno productivo Web Cloud con casos reales y medición de tiempos de procesamiento.</t>
        </is>
      </c>
      <c r="H25" s="37" t="inlineStr">
        <is>
          <t>Alta</t>
        </is>
      </c>
      <c r="I25" s="40" t="n">
        <v>13</v>
      </c>
      <c r="J25" s="40" t="n">
        <v>60</v>
      </c>
      <c r="K25" s="40" t="inlineStr">
        <is>
          <t>2026-10-01 00:00:00</t>
        </is>
      </c>
      <c r="L25" s="40" t="inlineStr">
        <is>
          <t>2026-10-18 00:00:00</t>
        </is>
      </c>
      <c r="M25" s="40" t="inlineStr">
        <is>
          <t>Sprint 08</t>
        </is>
      </c>
      <c r="N25" s="34" t="inlineStr">
        <is>
          <t>In Progress</t>
        </is>
      </c>
      <c r="O25" s="39" t="inlineStr">
        <is>
          <t>Jefa de Procesos &amp; Equipo Técnico</t>
        </is>
      </c>
      <c r="P25" s="39" t="inlineStr">
        <is>
          <t>Aprobación formal de las 4 fases de levantamiento, cero errores bloqueantes y checklist de mejoras aprobado.</t>
        </is>
      </c>
      <c r="Q25" s="39" t="inlineStr">
        <is>
          <t>UAT-2026-OCT</t>
        </is>
      </c>
    </row>
    <row r="26">
      <c r="A26" s="41" t="inlineStr">
        <is>
          <t>25</t>
        </is>
      </c>
      <c r="B26" s="42" t="inlineStr">
        <is>
          <t>Sincronización Bidireccional &amp; Auto-Layout</t>
        </is>
      </c>
      <c r="C26" s="43" t="inlineStr">
        <is>
          <t>User Story</t>
        </is>
      </c>
      <c r="D26" s="43" t="inlineStr">
        <is>
          <t>Como diseñador de procesos, quiero optimizaciones en el auto-layout de carriles (swimlanes) y sincronización fluida entre la tabla SIPOC y el lienzo BPMN.</t>
        </is>
      </c>
      <c r="E26" s="43" t="inlineStr">
        <is>
          <t>1. Afinar algoritmo de posicionamiento de nodos en swimlanes. 2. Mejorar edición reactiva de compuertas de decisión. 3. Implementar feedback de guardado instantáneo.</t>
        </is>
      </c>
      <c r="F26" s="43" t="inlineStr">
        <is>
          <t>TBD</t>
        </is>
      </c>
      <c r="G26" s="43" t="inlineStr">
        <is>
          <t>Algoritmo de diagramación automática de swimlanes con ordenamiento topológico y sincronización reactiva bidireccional entre estado SIPOC y lienzo.</t>
        </is>
      </c>
      <c r="H26" s="41" t="inlineStr">
        <is>
          <t>Media</t>
        </is>
      </c>
      <c r="I26" s="44" t="n">
        <v>10</v>
      </c>
      <c r="J26" s="44" t="n">
        <v>50</v>
      </c>
      <c r="K26" s="44" t="inlineStr">
        <is>
          <t>2026-10-01 00:00:00</t>
        </is>
      </c>
      <c r="L26" s="44" t="inlineStr">
        <is>
          <t>2026-10-31 00:00:00</t>
        </is>
      </c>
      <c r="M26" s="44" t="inlineStr">
        <is>
          <t>Sprint 08</t>
        </is>
      </c>
      <c r="N26" s="34" t="inlineStr">
        <is>
          <t>In Progress</t>
        </is>
      </c>
      <c r="O26" s="43" t="inlineStr">
        <is>
          <t>Equipo Técnico TEMIS</t>
        </is>
      </c>
      <c r="P26" s="43" t="inlineStr">
        <is>
          <t>Lienzo BPMN con auto-acomodo de carriles y sincronización en tiempo real sin lag.</t>
        </is>
      </c>
      <c r="Q26" s="43" t="inlineStr">
        <is>
          <t>Sprint 08 Dev</t>
        </is>
      </c>
    </row>
    <row r="27">
      <c r="A27" s="41" t="inlineStr">
        <is>
          <t>26</t>
        </is>
      </c>
      <c r="B27" s="42" t="inlineStr">
        <is>
          <t>🔥 Desacoplamiento Gobernanza ➔ AppSheet</t>
        </is>
      </c>
      <c r="C27" s="43" t="inlineStr">
        <is>
          <t>Epic / HITO ARQUITECTURA</t>
        </is>
      </c>
      <c r="D27" s="43" t="inlineStr">
        <is>
          <t>Como Director de Tecnología y PMO, quiero desacoplar el flujo de gobernanza corporativa (7 fases, diarios, aprobaciones) hacia Google AppSheet, para que TEMIS opere exclusivamente como Motor Especializado de Automatización Documental de Procesos.</t>
        </is>
      </c>
      <c r="E27" s="43" t="inlineStr">
        <is>
          <t>1. Delegar intake, estatus y aprobaciones a AppSheet. 2. Integrar ID de Iniciativa AppSheet (external_governance_id) en Ficha Técnica. 3. Limpiar navegación y sidebar en Reflex hacia 4 módulos técnicos (Ficha, SIPOC, BPMN, Work Instructions).</t>
        </is>
      </c>
      <c r="F27" s="43" t="inlineStr">
        <is>
          <t>TBD</t>
        </is>
      </c>
      <c r="G27" s="43" t="inlineStr">
        <is>
          <t>Separación de responsabilidades arquitecturales: AppSheet como capa de gobernanza institucional y TEMIS Web como motor de modelado BPMN, SIPOC y generación DOCX oficial.</t>
        </is>
      </c>
      <c r="H27" s="41" t="inlineStr">
        <is>
          <t>Alta</t>
        </is>
      </c>
      <c r="I27" s="44" t="n">
        <v>13</v>
      </c>
      <c r="J27" s="44" t="n">
        <v>55</v>
      </c>
      <c r="K27" s="44" t="inlineStr">
        <is>
          <t>2026-10-01 00:00:00</t>
        </is>
      </c>
      <c r="L27" s="44" t="inlineStr">
        <is>
          <t>2026-10-15 00:00:00</t>
        </is>
      </c>
      <c r="M27" s="44" t="inlineStr">
        <is>
          <t>Sprint 08</t>
        </is>
      </c>
      <c r="N27" s="34" t="inlineStr">
        <is>
          <t>Completed</t>
        </is>
      </c>
      <c r="O27" s="43" t="inlineStr">
        <is>
          <t>Equipo Técnico TEMIS</t>
        </is>
      </c>
      <c r="P27" s="43" t="inlineStr">
        <is>
          <t>• Navegación simplificada a 4 vistas técnicas (Ficha, SIPOC, BPMN, Work Instructions).
• ID de Gobernanza AppSheet persistido en proyectos.
• Cero dependencias circulares con tablas de gobernanza.</t>
        </is>
      </c>
      <c r="Q27" s="43" t="inlineStr">
        <is>
          <t>Plan Técnico Desacoplamiento v1.0</t>
        </is>
      </c>
    </row>
    <row r="28">
      <c r="A28" s="41" t="inlineStr">
        <is>
          <t>27</t>
        </is>
      </c>
      <c r="B28" s="42" t="inlineStr">
        <is>
          <t>Reorientación Auditor IA Calidad Técnica (0-100)</t>
        </is>
      </c>
      <c r="C28" s="43" t="inlineStr">
        <is>
          <t>User Story</t>
        </is>
      </c>
      <c r="D28" s="43" t="inlineStr">
        <is>
          <t>Como analista y Jefa de Procesos, quiero que el Auditor IA evalúe la completitud y consistencia técnica de la documentación (nodos BPMN, sistemas/canales, consistencia SIPOC y capturas HD) sin penalizaciones por gobernanza externa.</t>
        </is>
      </c>
      <c r="E28" s="43" t="inlineStr">
        <is>
          <t>1. Rediseñar rúbrica 0-100 pts con 4 pilares técnicos. 2. Ajustar prompt de auditoría en backend. 3. Actualizar interfaz modal en Reflex con feedback positivo y métricas de calidad documental.</t>
        </is>
      </c>
      <c r="F28" s="43" t="inlineStr">
        <is>
          <t>TBD</t>
        </is>
      </c>
      <c r="G28" s="43" t="inlineStr">
        <is>
          <t>Motor de auditoría técnica con IA enfocado en consistencia SIPOC-BPMN, conectividad de flujos, asignación de sistemas y completitud de evidencias visuales.</t>
        </is>
      </c>
      <c r="H28" s="41" t="inlineStr">
        <is>
          <t>Alta</t>
        </is>
      </c>
      <c r="I28" s="44" t="n">
        <v>8</v>
      </c>
      <c r="J28" s="44" t="n">
        <v>35</v>
      </c>
      <c r="K28" s="44" t="inlineStr">
        <is>
          <t>2026-10-02 00:00:00</t>
        </is>
      </c>
      <c r="L28" s="44" t="inlineStr">
        <is>
          <t>2026-10-10 00:00:00</t>
        </is>
      </c>
      <c r="M28" s="44" t="inlineStr">
        <is>
          <t>Sprint 08</t>
        </is>
      </c>
      <c r="N28" s="34" t="inlineStr">
        <is>
          <t>Completed</t>
        </is>
      </c>
      <c r="O28" s="43" t="inlineStr">
        <is>
          <t>Equipo Técnico TEMIS</t>
        </is>
      </c>
      <c r="P28" s="43" t="inlineStr">
        <is>
          <t>• Auditoría técnica 0-100 pts con desglose por pilar.
• Sin penalizaciones por roles o fases de gobernanza.
• Diagnóstico accionable en tiempo real.</t>
        </is>
      </c>
      <c r="Q28" s="43" t="inlineStr">
        <is>
          <t>audit_modal.py, state.py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9" customWidth="1" min="5" max="5"/>
    <col width="18" customWidth="1" min="6" max="6"/>
    <col width="12" customWidth="1" min="7" max="7"/>
    <col width="12" customWidth="1" min="8" max="8"/>
    <col width="47" customWidth="1" min="9" max="9"/>
    <col width="17" customWidth="1" min="10" max="10"/>
    <col width="12" customWidth="1" min="11" max="11"/>
    <col width="12" customWidth="1" min="12" max="12"/>
    <col width="21" customWidth="1" min="13" max="13"/>
    <col width="12" customWidth="1" min="14" max="14"/>
  </cols>
  <sheetData>
    <row r="1" ht="35" customHeight="1">
      <c r="A1" s="1" t="inlineStr">
        <is>
          <t>DASHBOARD EJECUTIVO | AVANCE Y MÉTRICAS DEL PROYECTO TEMIS</t>
        </is>
      </c>
    </row>
    <row r="2" ht="20" customHeight="1">
      <c r="A2" s="2" t="inlineStr">
        <is>
          <t>Monitoreo en tiempo real del Backlog Técnico Scrum, distribución por módulos y cumplimiento de Sprints (16 Ene 2026 - 04 Dic 2026)</t>
        </is>
      </c>
    </row>
    <row r="4" ht="22" customHeight="1">
      <c r="A4" s="21" t="inlineStr">
        <is>
          <t>AVANCE POR ITEMS</t>
        </is>
      </c>
      <c r="E4" s="21" t="inlineStr">
        <is>
          <t>AVANCE POR HORAS</t>
        </is>
      </c>
      <c r="I4" s="21" t="inlineStr">
        <is>
          <t>AVANCE POR STORY POINTS</t>
        </is>
      </c>
      <c r="M4" s="21" t="inlineStr">
        <is>
          <t>TAREAS COMPLETADAS</t>
        </is>
      </c>
    </row>
    <row r="5" ht="36" customHeight="1">
      <c r="A5" s="22">
        <f>COUNTIF('Backlog Scrum Técnico TEMIS'!N2:N50, "Completed")/COUNTA('Backlog Scrum Técnico TEMIS'!A2:A50)</f>
        <v/>
      </c>
      <c r="E5" s="22">
        <f>SUMIF('Backlog Scrum Técnico TEMIS'!N2:N50, "Completed", 'Backlog Scrum Técnico TEMIS'!J2:J50)/SUM('Backlog Scrum Técnico TEMIS'!J2:J50)</f>
        <v/>
      </c>
      <c r="I5" s="22">
        <f>SUMIF('Backlog Scrum Técnico TEMIS'!N2:N50, "Completed", 'Backlog Scrum Técnico TEMIS'!I2:I50)/SUM('Backlog Scrum Técnico TEMIS'!I2:I50)</f>
        <v/>
      </c>
      <c r="M5" s="23">
        <f>COUNTIF('Backlog Scrum Técnico TEMIS'!N2:N50, "Completed")</f>
        <v/>
      </c>
    </row>
    <row r="7" ht="24" customHeight="1">
      <c r="A7" s="24" t="inlineStr">
        <is>
          <t>RESUMEN DE AVANCE POR MÓDULO ARQUITECTÓNICO</t>
        </is>
      </c>
      <c r="I7" s="24" t="inlineStr">
        <is>
          <t>ESTADO DE ENTREGAS POR SPRINT (ROADMAP 2026)</t>
        </is>
      </c>
    </row>
    <row r="9" ht="22" customHeight="1">
      <c r="A9" s="3" t="inlineStr">
        <is>
          <t>Módulo Técnico</t>
        </is>
      </c>
      <c r="B9" s="3" t="inlineStr">
        <is>
          <t>Total Items</t>
        </is>
      </c>
      <c r="C9" s="3" t="inlineStr">
        <is>
          <t>Completados</t>
        </is>
      </c>
      <c r="D9" s="3" t="inlineStr">
        <is>
          <t>En Progreso</t>
        </is>
      </c>
      <c r="E9" s="3" t="inlineStr">
        <is>
          <t>Planificados</t>
        </is>
      </c>
      <c r="F9" s="3" t="inlineStr">
        <is>
          <t>Horas Estimadas</t>
        </is>
      </c>
      <c r="G9" s="3" t="inlineStr">
        <is>
          <t>% Avance</t>
        </is>
      </c>
      <c r="I9" s="3" t="n"/>
      <c r="J9" s="3" t="n"/>
      <c r="K9" s="3" t="n"/>
      <c r="L9" s="3" t="n"/>
      <c r="M9" s="3" t="n"/>
      <c r="N9" s="3" t="n"/>
    </row>
    <row r="10" ht="20" customHeight="1">
      <c r="A10" s="25" t="inlineStr">
        <is>
          <t>Reflex Web SaaS Cloud</t>
        </is>
      </c>
      <c r="B10" s="4">
        <f>COUNTIF('Backlog Scrum Técnico TEMIS'!B2:B65, "*Reflex Web SaaS Cloud*")</f>
        <v/>
      </c>
      <c r="C10" s="4">
        <f>COUNTIFS('Backlog Scrum Técnico TEMIS'!B2:B65, "*Reflex Web SaaS Cloud*", 'Backlog Scrum Técnico TEMIS'!N2:N65, "Completed")</f>
        <v/>
      </c>
      <c r="D10" s="4">
        <f>COUNTIFS('Backlog Scrum Técnico TEMIS'!B2:B65, "*Reflex Web SaaS Cloud*", 'Backlog Scrum Técnico TEMIS'!N2:N65, "In Progress")</f>
        <v/>
      </c>
      <c r="E10" s="4">
        <f>COUNTIFS('Backlog Scrum Técnico TEMIS'!B2:B65, "*Reflex Web SaaS Cloud*", 'Backlog Scrum Técnico TEMIS'!N2:N65, "Planned")</f>
        <v/>
      </c>
      <c r="F10" s="4">
        <f>SUMIF('Backlog Scrum Técnico TEMIS'!B2:B65, "*Reflex Web SaaS Cloud*", 'Backlog Scrum Técnico TEMIS'!J2:J65)</f>
        <v/>
      </c>
      <c r="G10" s="26">
        <f>IF(B10&gt;0, C10/B10, 0)</f>
        <v/>
      </c>
      <c r="I10" s="25" t="inlineStr">
        <is>
          <t>Sprint 01</t>
        </is>
      </c>
      <c r="J10" s="4" t="inlineStr">
        <is>
          <t>Ene - Feb 2026</t>
        </is>
      </c>
      <c r="K10" s="4">
        <f>COUNTIF('Backlog Scrum Técnico TEMIS'!M2:M65, "Sprint 01")</f>
        <v/>
      </c>
      <c r="L10" s="4">
        <f>SUMIF('Backlog Scrum Técnico TEMIS'!M2:M65, "Sprint 01", 'Backlog Scrum Técnico TEMIS'!I2:I65)</f>
        <v/>
      </c>
      <c r="M10" s="6" t="inlineStr">
        <is>
          <t>Completed</t>
        </is>
      </c>
      <c r="N10" s="26">
        <f>IF(K10&gt;0, COUNTIFS('Backlog Scrum Técnico TEMIS'!M2:M65, "Sprint 01", 'Backlog Scrum Técnico TEMIS'!N2:N65, "Completed")/K10, 0)</f>
        <v/>
      </c>
    </row>
    <row r="11" ht="20" customHeight="1">
      <c r="A11" s="25" t="inlineStr">
        <is>
          <t>Parser Lucidchart Determinista</t>
        </is>
      </c>
      <c r="B11" s="4">
        <f>COUNTIF('Backlog Scrum Técnico TEMIS'!B2:B65, "*Parser Lucidchart Determinista*")</f>
        <v/>
      </c>
      <c r="C11" s="4">
        <f>COUNTIFS('Backlog Scrum Técnico TEMIS'!B2:B65, "*Parser Lucidchart Determinista*", 'Backlog Scrum Técnico TEMIS'!N2:N65, "Completed")</f>
        <v/>
      </c>
      <c r="D11" s="4">
        <f>COUNTIFS('Backlog Scrum Técnico TEMIS'!B2:B65, "*Parser Lucidchart Determinista*", 'Backlog Scrum Técnico TEMIS'!N2:N65, "In Progress")</f>
        <v/>
      </c>
      <c r="E11" s="4">
        <f>COUNTIFS('Backlog Scrum Técnico TEMIS'!B2:B65, "*Parser Lucidchart Determinista*", 'Backlog Scrum Técnico TEMIS'!N2:N65, "Planned")</f>
        <v/>
      </c>
      <c r="F11" s="4">
        <f>SUMIF('Backlog Scrum Técnico TEMIS'!B2:B65, "*Parser Lucidchart Determinista*", 'Backlog Scrum Técnico TEMIS'!J2:J65)</f>
        <v/>
      </c>
      <c r="G11" s="26">
        <f>IF(B11&gt;0, C11/B11, 0)</f>
        <v/>
      </c>
      <c r="I11" s="25" t="inlineStr">
        <is>
          <t>Sprint 02</t>
        </is>
      </c>
      <c r="J11" s="4" t="inlineStr">
        <is>
          <t>Mar - Abr 2026</t>
        </is>
      </c>
      <c r="K11" s="4">
        <f>COUNTIF('Backlog Scrum Técnico TEMIS'!M2:M65, "Sprint 02")</f>
        <v/>
      </c>
      <c r="L11" s="4">
        <f>SUMIF('Backlog Scrum Técnico TEMIS'!M2:M65, "Sprint 02", 'Backlog Scrum Técnico TEMIS'!I2:I65)</f>
        <v/>
      </c>
      <c r="M11" s="6" t="inlineStr">
        <is>
          <t>Completed</t>
        </is>
      </c>
      <c r="N11" s="26">
        <f>IF(K11&gt;0, COUNTIFS('Backlog Scrum Técnico TEMIS'!M2:M65, "Sprint 02", 'Backlog Scrum Técnico TEMIS'!N2:N65, "Completed")/K11, 0)</f>
        <v/>
      </c>
    </row>
    <row r="12" ht="20" customHeight="1">
      <c r="A12" s="25" t="inlineStr">
        <is>
          <t>UI/UX Reingeniería Pro</t>
        </is>
      </c>
      <c r="B12" s="4">
        <f>COUNTIF('Backlog Scrum Técnico TEMIS'!B2:B65, "*UI/UX Reingeniería Pro*")</f>
        <v/>
      </c>
      <c r="C12" s="4">
        <f>COUNTIFS('Backlog Scrum Técnico TEMIS'!B2:B65, "*UI/UX Reingeniería Pro*", 'Backlog Scrum Técnico TEMIS'!N2:N65, "Completed")</f>
        <v/>
      </c>
      <c r="D12" s="4">
        <f>COUNTIFS('Backlog Scrum Técnico TEMIS'!B2:B65, "*UI/UX Reingeniería Pro*", 'Backlog Scrum Técnico TEMIS'!N2:N65, "In Progress")</f>
        <v/>
      </c>
      <c r="E12" s="4">
        <f>COUNTIFS('Backlog Scrum Técnico TEMIS'!B2:B65, "*UI/UX Reingeniería Pro*", 'Backlog Scrum Técnico TEMIS'!N2:N65, "Planned")</f>
        <v/>
      </c>
      <c r="F12" s="4">
        <f>SUMIF('Backlog Scrum Técnico TEMIS'!B2:B65, "*UI/UX Reingeniería Pro*", 'Backlog Scrum Técnico TEMIS'!J2:J65)</f>
        <v/>
      </c>
      <c r="G12" s="26">
        <f>IF(B12&gt;0, C12/B12, 0)</f>
        <v/>
      </c>
      <c r="I12" s="25" t="inlineStr">
        <is>
          <t>Sprint 03</t>
        </is>
      </c>
      <c r="J12" s="4" t="inlineStr">
        <is>
          <t>May - Jun 2026</t>
        </is>
      </c>
      <c r="K12" s="4">
        <f>COUNTIF('Backlog Scrum Técnico TEMIS'!M2:M65, "Sprint 03")</f>
        <v/>
      </c>
      <c r="L12" s="4">
        <f>SUMIF('Backlog Scrum Técnico TEMIS'!M2:M65, "Sprint 03", 'Backlog Scrum Técnico TEMIS'!I2:I65)</f>
        <v/>
      </c>
      <c r="M12" s="6" t="inlineStr">
        <is>
          <t>Completed</t>
        </is>
      </c>
      <c r="N12" s="26">
        <f>IF(K12&gt;0, COUNTIFS('Backlog Scrum Técnico TEMIS'!M2:M65, "Sprint 03", 'Backlog Scrum Técnico TEMIS'!N2:N65, "Completed")/K12, 0)</f>
        <v/>
      </c>
    </row>
    <row r="13" ht="20" customHeight="1">
      <c r="A13" s="25" t="inlineStr">
        <is>
          <t>Conexión Interactiva &amp; Bézier</t>
        </is>
      </c>
      <c r="B13" s="4">
        <f>COUNTIF('Backlog Scrum Técnico TEMIS'!B2:B65, "*Conexión Interactiva de Nodos*")</f>
        <v/>
      </c>
      <c r="C13" s="4">
        <f>COUNTIFS('Backlog Scrum Técnico TEMIS'!B2:B65, "*Conexión Interactiva de Nodos*", 'Backlog Scrum Técnico TEMIS'!N2:N65, "Completed")</f>
        <v/>
      </c>
      <c r="D13" s="4">
        <f>COUNTIFS('Backlog Scrum Técnico TEMIS'!B2:B65, "*Conexión Interactiva de Nodos*", 'Backlog Scrum Técnico TEMIS'!N2:N65, "In Progress")</f>
        <v/>
      </c>
      <c r="E13" s="4">
        <f>COUNTIFS('Backlog Scrum Técnico TEMIS'!B2:B65, "*Conexión Interactiva de Nodos*", 'Backlog Scrum Técnico TEMIS'!N2:N65, "Planned")</f>
        <v/>
      </c>
      <c r="F13" s="4">
        <f>SUMIF('Backlog Scrum Técnico TEMIS'!B2:B65, "*Conexión Interactiva de Nodos*", 'Backlog Scrum Técnico TEMIS'!J2:J65)</f>
        <v/>
      </c>
      <c r="G13" s="26">
        <f>IF(B13&gt;0, C13/B13, 0)</f>
        <v/>
      </c>
      <c r="I13" s="25" t="inlineStr">
        <is>
          <t>Sprint 04</t>
        </is>
      </c>
      <c r="J13" s="4" t="inlineStr">
        <is>
          <t>Jul - Ago 2026</t>
        </is>
      </c>
      <c r="K13" s="4">
        <f>COUNTIF('Backlog Scrum Técnico TEMIS'!M2:M65, "Sprint 04")</f>
        <v/>
      </c>
      <c r="L13" s="4">
        <f>SUMIF('Backlog Scrum Técnico TEMIS'!M2:M65, "Sprint 04", 'Backlog Scrum Técnico TEMIS'!I2:I65)</f>
        <v/>
      </c>
      <c r="M13" s="6" t="inlineStr">
        <is>
          <t>Completed</t>
        </is>
      </c>
      <c r="N13" s="26">
        <f>IF(K13&gt;0, COUNTIFS('Backlog Scrum Técnico TEMIS'!M2:M65, "Sprint 04", 'Backlog Scrum Técnico TEMIS'!N2:N65, "Completed")/K13, 0)</f>
        <v/>
      </c>
    </row>
    <row r="14" ht="20" customHeight="1">
      <c r="A14" s="25" t="inlineStr">
        <is>
          <t>Auditor de Procesos IA (Gemini)</t>
        </is>
      </c>
      <c r="B14" s="4">
        <f>COUNTIF('Backlog Scrum Técnico TEMIS'!B2:B65, "*Auditor de Procesos IA (Gemini)*")</f>
        <v/>
      </c>
      <c r="C14" s="4">
        <f>COUNTIFS('Backlog Scrum Técnico TEMIS'!B2:B65, "*Auditor de Procesos IA (Gemini)*", 'Backlog Scrum Técnico TEMIS'!N2:N65, "Completed")</f>
        <v/>
      </c>
      <c r="D14" s="4">
        <f>COUNTIFS('Backlog Scrum Técnico TEMIS'!B2:B65, "*Auditor de Procesos IA (Gemini)*", 'Backlog Scrum Técnico TEMIS'!N2:N65, "In Progress")</f>
        <v/>
      </c>
      <c r="E14" s="4">
        <f>COUNTIFS('Backlog Scrum Técnico TEMIS'!B2:B65, "*Auditor de Procesos IA (Gemini)*", 'Backlog Scrum Técnico TEMIS'!N2:N65, "Planned")</f>
        <v/>
      </c>
      <c r="F14" s="4">
        <f>SUMIF('Backlog Scrum Técnico TEMIS'!B2:B65, "*Auditor de Procesos IA (Gemini)*", 'Backlog Scrum Técnico TEMIS'!J2:J65)</f>
        <v/>
      </c>
      <c r="G14" s="26">
        <f>IF(B14&gt;0, C14/B14, 0)</f>
        <v/>
      </c>
      <c r="I14" s="25" t="inlineStr">
        <is>
          <t>Sprint 05 (HITO WEB)</t>
        </is>
      </c>
      <c r="J14" s="4" t="inlineStr">
        <is>
          <t>Ago 2026</t>
        </is>
      </c>
      <c r="K14" s="4">
        <f>COUNTIF('Backlog Scrum Técnico TEMIS'!M2:M65, "Sprint 05")</f>
        <v/>
      </c>
      <c r="L14" s="4">
        <f>SUMIF('Backlog Scrum Técnico TEMIS'!M2:M65, "Sprint 05", 'Backlog Scrum Técnico TEMIS'!I2:I65)</f>
        <v/>
      </c>
      <c r="M14" s="6" t="inlineStr">
        <is>
          <t>Completed</t>
        </is>
      </c>
      <c r="N14" s="26">
        <f>IF(K14&gt;0, COUNTIFS('Backlog Scrum Técnico TEMIS'!M2:M65, "Sprint 05", 'Backlog Scrum Técnico TEMIS'!N2:N65, "Completed")/K14, 0)</f>
        <v/>
      </c>
    </row>
    <row r="15" ht="20" customHeight="1">
      <c r="A15" s="25" t="inlineStr">
        <is>
          <t>Gobernanza 7 Fases &amp; Daily Logs</t>
        </is>
      </c>
      <c r="B15" s="4">
        <f>COUNTIF('Backlog Scrum Técnico TEMIS'!B2:B65, "*Gobernanza*")</f>
        <v/>
      </c>
      <c r="C15" s="4">
        <f>COUNTIFS('Backlog Scrum Técnico TEMIS'!B2:B65, "*Gobernanza*", 'Backlog Scrum Técnico TEMIS'!N2:N65, "Completed")</f>
        <v/>
      </c>
      <c r="D15" s="4">
        <f>COUNTIFS('Backlog Scrum Técnico TEMIS'!B2:B65, "*Gobernanza*", 'Backlog Scrum Técnico TEMIS'!N2:N65, "In Progress")</f>
        <v/>
      </c>
      <c r="E15" s="4">
        <f>COUNTIFS('Backlog Scrum Técnico TEMIS'!B2:B65, "*Gobernanza*", 'Backlog Scrum Técnico TEMIS'!N2:N65, "Planned")</f>
        <v/>
      </c>
      <c r="F15" s="4">
        <f>SUMIF('Backlog Scrum Técnico TEMIS'!B2:B65, "*Gobernanza*", 'Backlog Scrum Técnico TEMIS'!J2:J65)</f>
        <v/>
      </c>
      <c r="G15" s="26">
        <f>IF(B15&gt;0, C15/B15, 0)</f>
        <v/>
      </c>
      <c r="I15" s="25" t="inlineStr">
        <is>
          <t>Sprint 06 (UI/UX + IA)</t>
        </is>
      </c>
      <c r="J15" s="4" t="inlineStr">
        <is>
          <t>Sep 2026</t>
        </is>
      </c>
      <c r="K15" s="4">
        <f>COUNTIF('Backlog Scrum Técnico TEMIS'!M2:M65, "Sprint 06")</f>
        <v/>
      </c>
      <c r="L15" s="4">
        <f>SUMIF('Backlog Scrum Técnico TEMIS'!M2:M65, "Sprint 06", 'Backlog Scrum Técnico TEMIS'!I2:I65)</f>
        <v/>
      </c>
      <c r="M15" s="6" t="inlineStr">
        <is>
          <t>Completed</t>
        </is>
      </c>
      <c r="N15" s="26">
        <f>IF(K15&gt;0, COUNTIFS('Backlog Scrum Técnico TEMIS'!M2:M65, "Sprint 06", 'Backlog Scrum Técnico TEMIS'!N2:N65, "Completed")/K15, 0)</f>
        <v/>
      </c>
    </row>
    <row r="16" ht="20" customHeight="1">
      <c r="A16" s="25" t="inlineStr">
        <is>
          <t>FastAPI Backend &amp; PostgreSQL DB</t>
        </is>
      </c>
      <c r="B16" s="4">
        <f>COUNTIF('Backlog Scrum Técnico TEMIS'!B2:B65, "*FastAPI*")</f>
        <v/>
      </c>
      <c r="C16" s="4">
        <f>COUNTIFS('Backlog Scrum Técnico TEMIS'!B2:B65, "*FastAPI*", 'Backlog Scrum Técnico TEMIS'!N2:N65, "Completed")</f>
        <v/>
      </c>
      <c r="D16" s="4">
        <f>COUNTIFS('Backlog Scrum Técnico TEMIS'!B2:B65, "*FastAPI*", 'Backlog Scrum Técnico TEMIS'!N2:N65, "In Progress")</f>
        <v/>
      </c>
      <c r="E16" s="4">
        <f>COUNTIFS('Backlog Scrum Técnico TEMIS'!B2:B65, "*FastAPI*", 'Backlog Scrum Técnico TEMIS'!N2:N65, "Planned")</f>
        <v/>
      </c>
      <c r="F16" s="4">
        <f>SUMIF('Backlog Scrum Técnico TEMIS'!B2:B65, "*FastAPI*", 'Backlog Scrum Técnico TEMIS'!J2:J65)</f>
        <v/>
      </c>
      <c r="G16" s="26">
        <f>IF(B16&gt;0, C16/B16, 0)</f>
        <v/>
      </c>
      <c r="I16" s="25" t="inlineStr">
        <is>
          <t>Sprint 07</t>
        </is>
      </c>
      <c r="J16" s="4" t="inlineStr">
        <is>
          <t>Sep 2026</t>
        </is>
      </c>
      <c r="K16" s="4">
        <f>COUNTIF('Backlog Scrum Técnico TEMIS'!M2:M65, "Sprint 07")</f>
        <v/>
      </c>
      <c r="L16" s="4">
        <f>SUMIF('Backlog Scrum Técnico TEMIS'!M2:M65, "Sprint 07", 'Backlog Scrum Técnico TEMIS'!I2:I65)</f>
        <v/>
      </c>
      <c r="M16" s="8" t="inlineStr">
        <is>
          <t>Completed</t>
        </is>
      </c>
      <c r="N16" s="26">
        <f>IF(K16&gt;0, COUNTIFS('Backlog Scrum Técnico TEMIS'!M2:M65, "Sprint 07", 'Backlog Scrum Técnico TEMIS'!N2:N65, "Completed")/K16, 0)</f>
        <v/>
      </c>
    </row>
    <row r="17" ht="20" customHeight="1">
      <c r="A17" s="25" t="inlineStr">
        <is>
          <t>Exportación Gráfica &amp; Drive Backup</t>
        </is>
      </c>
      <c r="B17" s="4">
        <f>COUNTIF('Backlog Scrum Técnico TEMIS'!B2:B65, "*Exportador*")</f>
        <v/>
      </c>
      <c r="C17" s="4">
        <f>COUNTIFS('Backlog Scrum Técnico TEMIS'!B2:B65, "*Exportador*", 'Backlog Scrum Técnico TEMIS'!N2:N65, "Completed")</f>
        <v/>
      </c>
      <c r="D17" s="4">
        <f>COUNTIFS('Backlog Scrum Técnico TEMIS'!B2:B65, "*Exportador*", 'Backlog Scrum Técnico TEMIS'!N2:N65, "In Progress")</f>
        <v/>
      </c>
      <c r="E17" s="4">
        <f>COUNTIFS('Backlog Scrum Técnico TEMIS'!B2:B65, "*Exportador*", 'Backlog Scrum Técnico TEMIS'!N2:N65, "Planned")</f>
        <v/>
      </c>
      <c r="F17" s="4">
        <f>SUMIF('Backlog Scrum Técnico TEMIS'!B2:B65, "*Exportador*", 'Backlog Scrum Técnico TEMIS'!J2:J65)</f>
        <v/>
      </c>
      <c r="G17" s="26">
        <f>IF(B17&gt;0, C17/B17, 0)</f>
        <v/>
      </c>
      <c r="I17" s="25" t="inlineStr">
        <is>
          <t>Sprint 08</t>
        </is>
      </c>
      <c r="J17" s="4" t="inlineStr">
        <is>
          <t>Oct 2026</t>
        </is>
      </c>
      <c r="K17" s="4">
        <f>COUNTIF('Backlog Scrum Técnico TEMIS'!M2:M65, "Sprint 08")</f>
        <v/>
      </c>
      <c r="L17" s="4">
        <f>SUMIF('Backlog Scrum Técnico TEMIS'!M2:M65, "Sprint 08", 'Backlog Scrum Técnico TEMIS'!I2:I65)</f>
        <v/>
      </c>
      <c r="M17" s="9" t="inlineStr">
        <is>
          <t>In Progress</t>
        </is>
      </c>
      <c r="N17" s="26">
        <f>IF(K17&gt;0, COUNTIFS('Backlog Scrum Técnico TEMIS'!M2:M65, "Sprint 08", 'Backlog Scrum Técnico TEMIS'!N2:N65, "Completed")/K17, 0)</f>
        <v/>
      </c>
    </row>
    <row r="18" ht="20" customHeight="1">
      <c r="I18" s="25" t="inlineStr">
        <is>
          <t>Sprint 09</t>
        </is>
      </c>
      <c r="J18" s="4" t="inlineStr">
        <is>
          <t>Nov 2026</t>
        </is>
      </c>
      <c r="K18" s="4">
        <f>COUNTIF('Backlog Scrum Técnico TEMIS'!M2:M65, "Sprint 09")</f>
        <v/>
      </c>
      <c r="L18" s="4">
        <f>SUMIF('Backlog Scrum Técnico TEMIS'!M2:M65, "Sprint 09", 'Backlog Scrum Técnico TEMIS'!I2:I65)</f>
        <v/>
      </c>
      <c r="M18" s="9" t="inlineStr">
        <is>
          <t>Planned</t>
        </is>
      </c>
      <c r="N18" s="26">
        <f>IF(K18&gt;0, COUNTIFS('Backlog Scrum Técnico TEMIS'!M2:M65, "Sprint 09", 'Backlog Scrum Técnico TEMIS'!N2:N65, "Completed")/K18, 0)</f>
        <v/>
      </c>
    </row>
    <row r="19" ht="20" customHeight="1">
      <c r="I19" s="25" t="inlineStr">
        <is>
          <t>Sprint 10 (FINAL)</t>
        </is>
      </c>
      <c r="J19" s="4" t="inlineStr">
        <is>
          <t>Nov - Dic 2026</t>
        </is>
      </c>
      <c r="K19" s="4">
        <f>COUNTIF('Backlog Scrum Técnico TEMIS'!M2:M65, "Sprint 10")</f>
        <v/>
      </c>
      <c r="L19" s="4">
        <f>SUMIF('Backlog Scrum Técnico TEMIS'!M2:M65, "Sprint 10", 'Backlog Scrum Técnico TEMIS'!I2:I65)</f>
        <v/>
      </c>
      <c r="M19" s="9" t="inlineStr">
        <is>
          <t>Planned</t>
        </is>
      </c>
      <c r="N19" s="26">
        <f>IF(K19&gt;0, COUNTIFS('Backlog Scrum Técnico TEMIS'!M2:M65, "Sprint 10", 'Backlog Scrum Técnico TEMIS'!N2:N65, "Completed")/K19, 0)</f>
        <v/>
      </c>
    </row>
  </sheetData>
  <mergeCells count="12">
    <mergeCell ref="I7:N7"/>
    <mergeCell ref="A5:C5"/>
    <mergeCell ref="E5:G5"/>
    <mergeCell ref="I5:K5"/>
    <mergeCell ref="A2:N2"/>
    <mergeCell ref="E4:G4"/>
    <mergeCell ref="M5:N5"/>
    <mergeCell ref="I4:K4"/>
    <mergeCell ref="A7:G7"/>
    <mergeCell ref="A4:C4"/>
    <mergeCell ref="M4:N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45" customWidth="1" min="3" max="3"/>
    <col width="12" customWidth="1" min="4" max="4"/>
    <col width="20" customWidth="1" min="5" max="5"/>
    <col width="18" customWidth="1" min="6" max="6"/>
    <col width="50" customWidth="1" min="7" max="7"/>
  </cols>
  <sheetData>
    <row r="1" ht="35" customHeight="1">
      <c r="A1" s="1" t="inlineStr">
        <is>
          <t>EVIDENCIA TÉCNICA | COMMITS VINCULADOS AL BACKLOG TEMIS</t>
        </is>
      </c>
    </row>
    <row r="3" ht="24" customHeight="1">
      <c r="A3" s="3" t="inlineStr">
        <is>
          <t>Item ID</t>
        </is>
      </c>
      <c r="B3" s="3" t="inlineStr">
        <is>
          <t>Módulo Backlog</t>
        </is>
      </c>
      <c r="C3" s="3" t="inlineStr">
        <is>
          <t>Item / Requerimiento Backlog</t>
        </is>
      </c>
      <c r="D3" s="3" t="inlineStr">
        <is>
          <t>Sprint</t>
        </is>
      </c>
      <c r="E3" s="3" t="inlineStr">
        <is>
          <t>Commits Primarios</t>
        </is>
      </c>
      <c r="F3" s="3" t="inlineStr">
        <is>
          <t>Nivel Evidencia</t>
        </is>
      </c>
      <c r="G3" s="3" t="inlineStr">
        <is>
          <t>Commits Relacionados (SHAs)</t>
        </is>
      </c>
    </row>
    <row r="4" ht="20" customHeight="1">
      <c r="A4" s="11" t="n">
        <v>1</v>
      </c>
      <c r="B4" s="27" t="inlineStr">
        <is>
          <t>Core / DB Compartida</t>
        </is>
      </c>
      <c r="C4" s="27" t="inlineStr">
        <is>
          <t>Sistema de base de datos compartida y sync Google Drive</t>
        </is>
      </c>
      <c r="D4" s="11" t="inlineStr">
        <is>
          <t>Sprint 01</t>
        </is>
      </c>
      <c r="E4" s="11" t="n">
        <v>1</v>
      </c>
      <c r="F4" s="11" t="inlineStr">
        <is>
          <t>Alta</t>
        </is>
      </c>
      <c r="G4" s="27" t="inlineStr">
        <is>
          <t>4c0e337</t>
        </is>
      </c>
    </row>
    <row r="5" ht="20" customHeight="1">
      <c r="A5" s="4" t="n">
        <v>2</v>
      </c>
      <c r="B5" s="5" t="inlineStr">
        <is>
          <t>Core / Seguridad</t>
        </is>
      </c>
      <c r="C5" s="5" t="inlineStr">
        <is>
          <t>Gestión de usuarios, roles y autenticación RBAC</t>
        </is>
      </c>
      <c r="D5" s="4" t="inlineStr">
        <is>
          <t>Sprint 01</t>
        </is>
      </c>
      <c r="E5" s="4" t="n">
        <v>1</v>
      </c>
      <c r="F5" s="4" t="inlineStr">
        <is>
          <t>Alta</t>
        </is>
      </c>
      <c r="G5" s="5" t="inlineStr">
        <is>
          <t>4c0e337</t>
        </is>
      </c>
    </row>
    <row r="6" ht="20" customHeight="1">
      <c r="A6" s="11" t="n">
        <v>3</v>
      </c>
      <c r="B6" s="27" t="inlineStr">
        <is>
          <t>Gobernanza / Proyectos</t>
        </is>
      </c>
      <c r="C6" s="27" t="inlineStr">
        <is>
          <t>Estructuración de proyectos, fases y entregables</t>
        </is>
      </c>
      <c r="D6" s="11" t="inlineStr">
        <is>
          <t>Sprint 01</t>
        </is>
      </c>
      <c r="E6" s="11" t="n">
        <v>1</v>
      </c>
      <c r="F6" s="11" t="inlineStr">
        <is>
          <t>Alta</t>
        </is>
      </c>
      <c r="G6" s="27" t="inlineStr">
        <is>
          <t>4c0e337</t>
        </is>
      </c>
    </row>
    <row r="7" ht="20" customHeight="1">
      <c r="A7" s="4" t="n">
        <v>4</v>
      </c>
      <c r="B7" s="5" t="inlineStr">
        <is>
          <t>Gobernanza / 7 Fases</t>
        </is>
      </c>
      <c r="C7" s="5" t="inlineStr">
        <is>
          <t>Marco metodológico de 7 fases corporativas</t>
        </is>
      </c>
      <c r="D7" s="4" t="inlineStr">
        <is>
          <t>Sprint 02</t>
        </is>
      </c>
      <c r="E7" s="4" t="n">
        <v>2</v>
      </c>
      <c r="F7" s="4" t="inlineStr">
        <is>
          <t>Alta</t>
        </is>
      </c>
      <c r="G7" s="5" t="inlineStr">
        <is>
          <t>4c0e337, 0f6ee7f</t>
        </is>
      </c>
    </row>
    <row r="8" ht="20" customHeight="1">
      <c r="A8" s="11" t="n">
        <v>5</v>
      </c>
      <c r="B8" s="27" t="inlineStr">
        <is>
          <t>Gobernanza / Daily Logs</t>
        </is>
      </c>
      <c r="C8" s="27" t="inlineStr">
        <is>
          <t>Bitácoras diarias y reportes de cierre de jornada EOD</t>
        </is>
      </c>
      <c r="D8" s="11" t="inlineStr">
        <is>
          <t>Sprint 02</t>
        </is>
      </c>
      <c r="E8" s="11" t="n">
        <v>1</v>
      </c>
      <c r="F8" s="11" t="inlineStr">
        <is>
          <t>Alta</t>
        </is>
      </c>
      <c r="G8" s="27" t="inlineStr">
        <is>
          <t>4c0e337</t>
        </is>
      </c>
    </row>
    <row r="9" ht="20" customHeight="1">
      <c r="A9" s="4" t="n">
        <v>6</v>
      </c>
      <c r="B9" s="5" t="inlineStr">
        <is>
          <t>Canvas Desktop</t>
        </is>
      </c>
      <c r="C9" s="5" t="inlineStr">
        <is>
          <t>Lienzo de dibujo de procesos desktop preliminar</t>
        </is>
      </c>
      <c r="D9" s="4" t="inlineStr">
        <is>
          <t>Sprint 03</t>
        </is>
      </c>
      <c r="E9" s="4" t="n">
        <v>1</v>
      </c>
      <c r="F9" s="4" t="inlineStr">
        <is>
          <t>Media</t>
        </is>
      </c>
      <c r="G9" s="5" t="inlineStr">
        <is>
          <t>4c0e337</t>
        </is>
      </c>
    </row>
    <row r="10" ht="20" customHeight="1">
      <c r="A10" s="11" t="n">
        <v>7</v>
      </c>
      <c r="B10" s="27" t="inlineStr">
        <is>
          <t>FastAPI / Backend REST</t>
        </is>
      </c>
      <c r="C10" s="27" t="inlineStr">
        <is>
          <t>Desacoplamiento modular en API REST FastAPI</t>
        </is>
      </c>
      <c r="D10" s="11" t="inlineStr">
        <is>
          <t>Sprint 04</t>
        </is>
      </c>
      <c r="E10" s="11" t="n">
        <v>3</v>
      </c>
      <c r="F10" s="11" t="inlineStr">
        <is>
          <t>Alta</t>
        </is>
      </c>
      <c r="G10" s="27" t="inlineStr">
        <is>
          <t>fe136da, dafd346, 710128e</t>
        </is>
      </c>
    </row>
    <row r="11" ht="20" customHeight="1">
      <c r="A11" s="16" t="n">
        <v>8</v>
      </c>
      <c r="B11" s="28" t="inlineStr">
        <is>
          <t>Reflex Web SaaS Cloud</t>
        </is>
      </c>
      <c r="C11" s="28" t="inlineStr">
        <is>
          <t>🔥 HITO: Migración Desktop ➔ Web SaaS Full-Stack Cloud</t>
        </is>
      </c>
      <c r="D11" s="19" t="inlineStr">
        <is>
          <t>Sprint 05</t>
        </is>
      </c>
      <c r="E11" s="19" t="n">
        <v>14</v>
      </c>
      <c r="F11" s="19" t="inlineStr">
        <is>
          <t>Alta (Crítico)</t>
        </is>
      </c>
      <c r="G11" s="29" t="inlineStr">
        <is>
          <t>fe136da, 4481522, 251c6e5, 66908f2, 7c255af, c067df3, 4c6afff, 9235c58, dafd346, 38bd2e0, 22a8bf2, c120d08, be0bc21, c53b6e6</t>
        </is>
      </c>
    </row>
    <row r="12" ht="20" customHeight="1">
      <c r="A12" s="11" t="n">
        <v>9</v>
      </c>
      <c r="B12" s="27" t="inlineStr">
        <is>
          <t>Parser Lucidchart Determinista</t>
        </is>
      </c>
      <c r="C12" s="27" t="inlineStr">
        <is>
          <t>Parser CSV/JSON directo con detección de 8 pestañas exactas</t>
        </is>
      </c>
      <c r="D12" s="11" t="inlineStr">
        <is>
          <t>Sprint 05</t>
        </is>
      </c>
      <c r="E12" s="11" t="n">
        <v>10</v>
      </c>
      <c r="F12" s="11" t="inlineStr">
        <is>
          <t>Alta (Crítico)</t>
        </is>
      </c>
      <c r="G12" s="27" t="inlineStr">
        <is>
          <t>9f31c2f, 2000758, 9e8da71, 7bcb6ac, 41b5d0a, 5a73bec, 55e43d8, ce0b414, e5f1686, 584a7f7</t>
        </is>
      </c>
    </row>
    <row r="13" ht="20" customHeight="1">
      <c r="A13" s="4" t="n">
        <v>10</v>
      </c>
      <c r="B13" s="5" t="inlineStr">
        <is>
          <t>Lienzo SVG &amp; Zoom Infinito</t>
        </is>
      </c>
      <c r="C13" s="5" t="inlineStr">
        <is>
          <t>Lienzo vectorial responsivo, Bézier y zoom 30%-300%</t>
        </is>
      </c>
      <c r="D13" s="4" t="inlineStr">
        <is>
          <t>Sprint 05</t>
        </is>
      </c>
      <c r="E13" s="4" t="n">
        <v>8</v>
      </c>
      <c r="F13" s="4" t="inlineStr">
        <is>
          <t>Alta</t>
        </is>
      </c>
      <c r="G13" s="5" t="inlineStr">
        <is>
          <t>ca5d399, 6137ed2, 60c915e, b833b55, 7292026, 39e3995, 70a72ca, 28240c5</t>
        </is>
      </c>
    </row>
    <row r="14" ht="20" customHeight="1">
      <c r="A14" s="11" t="n">
        <v>11</v>
      </c>
      <c r="B14" s="27" t="inlineStr">
        <is>
          <t>UI/UX Reingeniería Pro</t>
        </is>
      </c>
      <c r="C14" s="27" t="inlineStr">
        <is>
          <t>Header 50px, Dock izquierdo, Inspector derecho y Barra inferior</t>
        </is>
      </c>
      <c r="D14" s="11" t="inlineStr">
        <is>
          <t>Sprint 06</t>
        </is>
      </c>
      <c r="E14" s="11" t="n">
        <v>6</v>
      </c>
      <c r="F14" s="11" t="inlineStr">
        <is>
          <t>Alta</t>
        </is>
      </c>
      <c r="G14" s="27" t="inlineStr">
        <is>
          <t>9805816, 2f8a70d, d332d20, 91f5bfe, c77d1ae, b1e0e00</t>
        </is>
      </c>
    </row>
    <row r="15" ht="20" customHeight="1">
      <c r="A15" s="4" t="n">
        <v>12</v>
      </c>
      <c r="B15" s="5" t="inlineStr">
        <is>
          <t>Conexión Interactiva de Nodos</t>
        </is>
      </c>
      <c r="C15" s="5" t="inlineStr">
        <is>
          <t>Conector interactivo con ruteo perimetral Este-Oeste</t>
        </is>
      </c>
      <c r="D15" s="4" t="inlineStr">
        <is>
          <t>Sprint 06</t>
        </is>
      </c>
      <c r="E15" s="4" t="n">
        <v>4</v>
      </c>
      <c r="F15" s="4" t="inlineStr">
        <is>
          <t>Alta</t>
        </is>
      </c>
      <c r="G15" s="5" t="inlineStr">
        <is>
          <t>592127e, 7bc6e6a, 3e76b5d, 9805816</t>
        </is>
      </c>
    </row>
    <row r="16" ht="20" customHeight="1">
      <c r="A16" s="11" t="n">
        <v>13</v>
      </c>
      <c r="B16" s="27" t="inlineStr">
        <is>
          <t>Auditor de Procesos IA (Gemini)</t>
        </is>
      </c>
      <c r="C16" s="27" t="inlineStr">
        <is>
          <t>Auditoría de integridad de flujo con calificación 0-100</t>
        </is>
      </c>
      <c r="D16" s="11" t="inlineStr">
        <is>
          <t>Sprint 06</t>
        </is>
      </c>
      <c r="E16" s="11" t="n">
        <v>2</v>
      </c>
      <c r="F16" s="11" t="inlineStr">
        <is>
          <t>Alta</t>
        </is>
      </c>
      <c r="G16" s="27" t="inlineStr">
        <is>
          <t>592127e, 9805816</t>
        </is>
      </c>
    </row>
    <row r="17" ht="20" customHeight="1">
      <c r="A17" s="4" t="n">
        <v>14</v>
      </c>
      <c r="B17" s="5" t="inlineStr">
        <is>
          <t>Exportador Gráfico PNG/PDF Pro</t>
        </is>
      </c>
      <c r="C17" s="5" t="inlineStr">
        <is>
          <t>Exportación visual de alta resolución PNG/PDF</t>
        </is>
      </c>
      <c r="D17" s="4" t="inlineStr">
        <is>
          <t>Sprint 07</t>
        </is>
      </c>
      <c r="E17" s="4" t="n">
        <v>1</v>
      </c>
      <c r="F17" s="4" t="inlineStr">
        <is>
          <t>En Curso</t>
        </is>
      </c>
      <c r="G17" s="5" t="inlineStr">
        <is>
          <t>e5f1686, 584a7f7</t>
        </is>
      </c>
    </row>
    <row r="18" ht="20" customHeight="1">
      <c r="A18" s="11" t="n">
        <v>15</v>
      </c>
      <c r="B18" s="27" t="inlineStr">
        <is>
          <t>Auto-Guardado PostgreSQL Cloud</t>
        </is>
      </c>
      <c r="C18" s="27" t="inlineStr">
        <is>
          <t>Auto-guardado debounced y sincronización continua en DB</t>
        </is>
      </c>
      <c r="D18" s="11" t="inlineStr">
        <is>
          <t>Sprint 07</t>
        </is>
      </c>
      <c r="E18" s="11" t="n">
        <v>2</v>
      </c>
      <c r="F18" s="11" t="inlineStr">
        <is>
          <t>En Curso</t>
        </is>
      </c>
      <c r="G18" s="27" t="inlineStr">
        <is>
          <t>4f39a18, 592127e</t>
        </is>
      </c>
    </row>
    <row r="19" ht="20" customHeight="1">
      <c r="A19" s="4" t="n">
        <v>16</v>
      </c>
      <c r="B19" s="5" t="inlineStr">
        <is>
          <t>Auto-Layout de Swimlanes</t>
        </is>
      </c>
      <c r="C19" s="5" t="inlineStr">
        <is>
          <t>Distribución y alineación automática de carriles operativos</t>
        </is>
      </c>
      <c r="D19" s="4" t="inlineStr">
        <is>
          <t>Sprint 08</t>
        </is>
      </c>
      <c r="E19" s="4" t="n">
        <v>0</v>
      </c>
      <c r="F19" s="4" t="inlineStr">
        <is>
          <t>Planificado</t>
        </is>
      </c>
      <c r="G19" s="5" t="inlineStr">
        <is>
          <t>Planned</t>
        </is>
      </c>
    </row>
    <row r="20" ht="20" customHeight="1">
      <c r="A20" s="11" t="n">
        <v>17</v>
      </c>
      <c r="B20" s="27" t="inlineStr">
        <is>
          <t>Respaldo Google Drive SA</t>
        </is>
      </c>
      <c r="C20" s="27" t="inlineStr">
        <is>
          <t>Backup en Unidad Compartida con Service Account</t>
        </is>
      </c>
      <c r="D20" s="11" t="inlineStr">
        <is>
          <t>Sprint 09</t>
        </is>
      </c>
      <c r="E20" s="11" t="n">
        <v>0</v>
      </c>
      <c r="F20" s="11" t="inlineStr">
        <is>
          <t>Planificado</t>
        </is>
      </c>
      <c r="G20" s="27" t="inlineStr">
        <is>
          <t>Planned</t>
        </is>
      </c>
    </row>
    <row r="21" ht="20" customHeight="1">
      <c r="A21" s="4" t="n">
        <v>18</v>
      </c>
      <c r="B21" s="5" t="inlineStr">
        <is>
          <t>QA Integral &amp; Cierre Proyecto</t>
        </is>
      </c>
      <c r="C21" s="5" t="inlineStr">
        <is>
          <t>Certificación final, pruebas de carga y Acta de Cierre</t>
        </is>
      </c>
      <c r="D21" s="4" t="inlineStr">
        <is>
          <t>Sprint 10</t>
        </is>
      </c>
      <c r="E21" s="4" t="n">
        <v>0</v>
      </c>
      <c r="F21" s="4" t="inlineStr">
        <is>
          <t>Planificado</t>
        </is>
      </c>
      <c r="G21" s="5" t="inlineStr">
        <is>
          <t>Planned</t>
        </is>
      </c>
    </row>
    <row r="22">
      <c r="A22" s="41" t="inlineStr">
        <is>
          <t>14</t>
        </is>
      </c>
      <c r="B22" s="43" t="inlineStr">
        <is>
          <t>Exportador Gráfico PNG/PDF Pro</t>
        </is>
      </c>
      <c r="C22" s="43" t="inlineStr">
        <is>
          <t>Exportador vectorial PNG/PDF y pre-renderizado</t>
        </is>
      </c>
      <c r="D22" s="44" t="inlineStr">
        <is>
          <t>Sprint 07</t>
        </is>
      </c>
      <c r="E22" s="41" t="inlineStr">
        <is>
          <t>2</t>
        </is>
      </c>
      <c r="F22" s="41" t="inlineStr">
        <is>
          <t>Alta</t>
        </is>
      </c>
      <c r="G22" s="43" t="inlineStr">
        <is>
          <t>603d7945, 158f0ff4</t>
        </is>
      </c>
    </row>
    <row r="23">
      <c r="A23" s="37" t="inlineStr">
        <is>
          <t>15</t>
        </is>
      </c>
      <c r="B23" s="39" t="inlineStr">
        <is>
          <t>Auto-Guardado PostgreSQL Cloud</t>
        </is>
      </c>
      <c r="C23" s="39" t="inlineStr">
        <is>
          <t>Sincronización cloud y mitigación de timeouts en Render</t>
        </is>
      </c>
      <c r="D23" s="40" t="inlineStr">
        <is>
          <t>Sprint 07</t>
        </is>
      </c>
      <c r="E23" s="37" t="inlineStr">
        <is>
          <t>3</t>
        </is>
      </c>
      <c r="F23" s="37" t="inlineStr">
        <is>
          <t>Alta</t>
        </is>
      </c>
      <c r="G23" s="39" t="inlineStr">
        <is>
          <t>237f7f7c, aa4e6bbb, 3590e8d9</t>
        </is>
      </c>
    </row>
    <row r="24">
      <c r="A24" s="41" t="inlineStr">
        <is>
          <t>19</t>
        </is>
      </c>
      <c r="B24" s="43" t="inlineStr">
        <is>
          <t>🔥 Media Studio Desktop / Whisper &amp; Keyframes</t>
        </is>
      </c>
      <c r="C24" s="43" t="inlineStr">
        <is>
          <t>Suite de escritorio offline para extracción multimedia</t>
        </is>
      </c>
      <c r="D24" s="44" t="inlineStr">
        <is>
          <t>Sprint 07</t>
        </is>
      </c>
      <c r="E24" s="41" t="inlineStr">
        <is>
          <t>3</t>
        </is>
      </c>
      <c r="F24" s="41" t="inlineStr">
        <is>
          <t>Crítica</t>
        </is>
      </c>
      <c r="G24" s="43" t="inlineStr">
        <is>
          <t>2e80a295, 9b64dc3a, b348d651</t>
        </is>
      </c>
    </row>
    <row r="25">
      <c r="A25" s="37" t="inlineStr">
        <is>
          <t>20</t>
        </is>
      </c>
      <c r="B25" s="39" t="inlineStr">
        <is>
          <t>Ingesta ZIP &amp; Galería Keyframes Web</t>
        </is>
      </c>
      <c r="C25" s="39" t="inlineStr">
        <is>
          <t>Ingesta de paquetes ZIP con galería Base64 de capturas</t>
        </is>
      </c>
      <c r="D25" s="40" t="inlineStr">
        <is>
          <t>Sprint 07</t>
        </is>
      </c>
      <c r="E25" s="37" t="inlineStr">
        <is>
          <t>4</t>
        </is>
      </c>
      <c r="F25" s="37" t="inlineStr">
        <is>
          <t>Alta</t>
        </is>
      </c>
      <c r="G25" s="39" t="inlineStr">
        <is>
          <t>5061bb4a, da66633c, 012ff586, 88b86dd8</t>
        </is>
      </c>
    </row>
    <row r="26">
      <c r="A26" s="41" t="inlineStr">
        <is>
          <t>21</t>
        </is>
      </c>
      <c r="B26" s="43" t="inlineStr">
        <is>
          <t>Plantilla Maestra Word Oficial (.docx)</t>
        </is>
      </c>
      <c r="C26" s="43" t="inlineStr">
        <is>
          <t>Manual oficial Word 4 tablas con capturas HD incrustadas</t>
        </is>
      </c>
      <c r="D26" s="44" t="inlineStr">
        <is>
          <t>Sprint 07</t>
        </is>
      </c>
      <c r="E26" s="41" t="inlineStr">
        <is>
          <t>3</t>
        </is>
      </c>
      <c r="F26" s="41" t="inlineStr">
        <is>
          <t>Crítica</t>
        </is>
      </c>
      <c r="G26" s="43" t="inlineStr">
        <is>
          <t>fc7c0eff, 1fcd3fde, d785d2c8</t>
        </is>
      </c>
    </row>
    <row r="27">
      <c r="A27" s="37" t="inlineStr">
        <is>
          <t>22</t>
        </is>
      </c>
      <c r="B27" s="39" t="inlineStr">
        <is>
          <t>Exportador Excel SIPOC Oficial</t>
        </is>
      </c>
      <c r="C27" s="39" t="inlineStr">
        <is>
          <t>Generador Excel idéntico a Plantilla Matriz Sipoc.xlsx</t>
        </is>
      </c>
      <c r="D27" s="40" t="inlineStr">
        <is>
          <t>Sprint 07</t>
        </is>
      </c>
      <c r="E27" s="37" t="inlineStr">
        <is>
          <t>2</t>
        </is>
      </c>
      <c r="F27" s="37" t="inlineStr">
        <is>
          <t>Alta</t>
        </is>
      </c>
      <c r="G27" s="39" t="inlineStr">
        <is>
          <t>fc7c0eff, 1fcd3fde</t>
        </is>
      </c>
    </row>
    <row r="28">
      <c r="A28" s="41" t="inlineStr">
        <is>
          <t>23</t>
        </is>
      </c>
      <c r="B28" s="43" t="inlineStr">
        <is>
          <t>Ingesta Multi-Documento &amp; IA Gemini 2.5</t>
        </is>
      </c>
      <c r="C28" s="43" t="inlineStr">
        <is>
          <t>Enriquecimiento cognitivo incremental con Gemini 2.5</t>
        </is>
      </c>
      <c r="D28" s="44" t="inlineStr">
        <is>
          <t>Sprint 07</t>
        </is>
      </c>
      <c r="E28" s="41" t="inlineStr">
        <is>
          <t>3</t>
        </is>
      </c>
      <c r="F28" s="41" t="inlineStr">
        <is>
          <t>Alta</t>
        </is>
      </c>
      <c r="G28" s="43" t="inlineStr">
        <is>
          <t>7229b48e, 3d0d6ded, 92be41e7</t>
        </is>
      </c>
    </row>
    <row r="29">
      <c r="A29" s="37" t="inlineStr">
        <is>
          <t>24</t>
        </is>
      </c>
      <c r="B29" s="39" t="inlineStr">
        <is>
          <t>Pruebas de Usuario (UAT) &amp; Validación</t>
        </is>
      </c>
      <c r="C29" s="39" t="inlineStr">
        <is>
          <t>Sesiones de prueba en vivo con Jefa de Procesos</t>
        </is>
      </c>
      <c r="D29" s="40" t="inlineStr">
        <is>
          <t>Sprint 08</t>
        </is>
      </c>
      <c r="E29" s="37" t="inlineStr">
        <is>
          <t>1</t>
        </is>
      </c>
      <c r="F29" s="37" t="inlineStr">
        <is>
          <t>Alta</t>
        </is>
      </c>
      <c r="G29" s="39" t="inlineStr">
        <is>
          <t>En Curso (Sprint 08)</t>
        </is>
      </c>
    </row>
    <row r="30">
      <c r="A30" s="41" t="inlineStr">
        <is>
          <t>25</t>
        </is>
      </c>
      <c r="B30" s="43" t="inlineStr">
        <is>
          <t>Sincronización Bidireccional &amp; Auto-Layout</t>
        </is>
      </c>
      <c r="C30" s="43" t="inlineStr">
        <is>
          <t>Optimización de swimlanes y sincronización reactiva</t>
        </is>
      </c>
      <c r="D30" s="44" t="inlineStr">
        <is>
          <t>Sprint 08</t>
        </is>
      </c>
      <c r="E30" s="41" t="inlineStr">
        <is>
          <t>1</t>
        </is>
      </c>
      <c r="F30" s="41" t="inlineStr">
        <is>
          <t>Media</t>
        </is>
      </c>
      <c r="G30" s="43" t="inlineStr">
        <is>
          <t>En Curso (Sprint 08)</t>
        </is>
      </c>
    </row>
    <row r="31">
      <c r="A31" s="41" t="inlineStr">
        <is>
          <t>26</t>
        </is>
      </c>
      <c r="B31" s="43" t="inlineStr">
        <is>
          <t>Desacoplamiento Gobernanza / AppSheet</t>
        </is>
      </c>
      <c r="C31" s="43" t="inlineStr">
        <is>
          <t>Desacoplamiento de gobernanza corporativa hacia AppSheet e integración external_governance_id</t>
        </is>
      </c>
      <c r="D31" s="44" t="inlineStr">
        <is>
          <t>Sprint 08</t>
        </is>
      </c>
      <c r="E31" s="41" t="n">
        <v>1</v>
      </c>
      <c r="F31" s="41" t="inlineStr">
        <is>
          <t>Alta</t>
        </is>
      </c>
      <c r="G31" s="43" t="inlineStr">
        <is>
          <t>feat(architecture)</t>
        </is>
      </c>
    </row>
    <row r="32">
      <c r="A32" s="41" t="inlineStr">
        <is>
          <t>27</t>
        </is>
      </c>
      <c r="B32" s="43" t="inlineStr">
        <is>
          <t>Auditor IA Calidad Técnica</t>
        </is>
      </c>
      <c r="C32" s="43" t="inlineStr">
        <is>
          <t>Reorientación de rúbrica 0-100 pts a consistencia técnica BPMN/SIPOC/Evidencias</t>
        </is>
      </c>
      <c r="D32" s="44" t="inlineStr">
        <is>
          <t>Sprint 08</t>
        </is>
      </c>
      <c r="E32" s="41" t="n">
        <v>1</v>
      </c>
      <c r="F32" s="41" t="inlineStr">
        <is>
          <t>Alta</t>
        </is>
      </c>
      <c r="G32" s="43" t="inlineStr">
        <is>
          <t>feat(audit)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50" customWidth="1" min="4" max="4"/>
    <col width="24" customWidth="1" min="5" max="5"/>
    <col width="22" customWidth="1" min="6" max="6"/>
    <col width="55" customWidth="1" min="7" max="7"/>
  </cols>
  <sheetData>
    <row r="1" ht="28" customHeight="1">
      <c r="A1" s="30" t="inlineStr">
        <is>
          <t>Commit Hash (SHA)</t>
        </is>
      </c>
      <c r="B1" s="30" t="inlineStr">
        <is>
          <t>Fecha y Hora</t>
        </is>
      </c>
      <c r="C1" s="30" t="inlineStr">
        <is>
          <t>Autor</t>
        </is>
      </c>
      <c r="D1" s="30" t="inlineStr">
        <is>
          <t>Mensaje de Commit</t>
        </is>
      </c>
      <c r="E1" s="30" t="inlineStr">
        <is>
          <t>Categoría / Módulo</t>
        </is>
      </c>
      <c r="F1" s="30" t="inlineStr">
        <is>
          <t>Sprint Relacionado</t>
        </is>
      </c>
      <c r="G1" s="30" t="inlineStr">
        <is>
          <t>Justificación Técnica y Entregables Realizados</t>
        </is>
      </c>
    </row>
    <row r="2" ht="20" customHeight="1">
      <c r="A2" s="41" t="inlineStr">
        <is>
          <t>7b49a12c</t>
        </is>
      </c>
      <c r="B2" s="44" t="inlineStr">
        <is>
          <t>2026-10-02 14:30:00 -0600</t>
        </is>
      </c>
      <c r="C2" s="43" t="inlineStr">
        <is>
          <t>Jose Antonio Hurtado Palestina</t>
        </is>
      </c>
      <c r="D2" s="43" t="inlineStr">
        <is>
          <t>feat(architecture): decouple corporate governance to AppSheet and re-scope TEMIS as Process Documentation Engine</t>
        </is>
      </c>
      <c r="E2" s="41" t="inlineStr">
        <is>
          <t>Arquitectura / Gobernanza AppSheet</t>
        </is>
      </c>
      <c r="F2" s="44" t="inlineStr">
        <is>
          <t>Sprint 08 - Oct 2026</t>
        </is>
      </c>
      <c r="G2" s="43" t="inlineStr">
        <is>
          <t>Desacoplamiento de gobernanza corporativa hacia AppSheet, reorientación a 4 vistas técnicas (Ficha, SIPOC, BPMN, Work Instructions) y actualización del Auditor IA a calidad técnica (0-100 pts).</t>
        </is>
      </c>
    </row>
    <row r="3" ht="20" customHeight="1">
      <c r="A3" s="41" t="inlineStr">
        <is>
          <t>1fcd3fde</t>
        </is>
      </c>
      <c r="B3" s="44" t="inlineStr">
        <is>
          <t>2026-09-29 16:44:13 -0600</t>
        </is>
      </c>
      <c r="C3" s="43" t="inlineStr">
        <is>
          <t>Jose Antonio Hurtado Palestina</t>
        </is>
      </c>
      <c r="D3" s="43" t="inlineStr">
        <is>
          <t>feat(narrative): integrate official master DOCX template engine matching Plantilla_Maestra_Oficial_Work_Instructions_TEMIS</t>
        </is>
      </c>
      <c r="E3" s="41" t="inlineStr">
        <is>
          <t>Plantilla Maestra Word / Narrativa</t>
        </is>
      </c>
      <c r="F3" s="44" t="inlineStr">
        <is>
          <t>Sprint 07 - Sep 2026</t>
        </is>
      </c>
      <c r="G3" s="43" t="inlineStr">
        <is>
          <t>Integración del motor de población sobre Plantilla_Maestra_Oficial_Work_Instructions_TEMIS.docx y 4 tablas oficiales.</t>
        </is>
      </c>
    </row>
    <row r="4" ht="20" customHeight="1">
      <c r="A4" s="37" t="inlineStr">
        <is>
          <t>fc7c0eff</t>
        </is>
      </c>
      <c r="B4" s="40" t="inlineStr">
        <is>
          <t>2026-09-29 14:45:49 -0600</t>
        </is>
      </c>
      <c r="C4" s="39" t="inlineStr">
        <is>
          <t>Jose Antonio Hurtado Palestina</t>
        </is>
      </c>
      <c r="D4" s="39" t="inlineStr">
        <is>
          <t>feat(export): standardize official Word 4-table document to match SAR 90 dias and Excel SIPOC template</t>
        </is>
      </c>
      <c r="E4" s="37" t="inlineStr">
        <is>
          <t>Plantilla Maestra Word / Narrativa</t>
        </is>
      </c>
      <c r="F4" s="40" t="inlineStr">
        <is>
          <t>Sprint 07 - Sep 2026</t>
        </is>
      </c>
      <c r="G4" s="39" t="inlineStr">
        <is>
          <t>Integración del motor de población sobre Plantilla_Maestra_Oficial_Work_Instructions_TEMIS.docx y 4 tablas oficiales.</t>
        </is>
      </c>
    </row>
    <row r="5" ht="20" customHeight="1">
      <c r="A5" s="41" t="inlineStr">
        <is>
          <t>6a9f6bdc</t>
        </is>
      </c>
      <c r="B5" s="44" t="inlineStr">
        <is>
          <t>2026-09-28 19:13:02 -0600</t>
        </is>
      </c>
      <c r="C5" s="43" t="inlineStr">
        <is>
          <t>Jose Antonio Hurtado Palestina</t>
        </is>
      </c>
      <c r="D5" s="43" t="inlineStr">
        <is>
          <t>fix(cascade): blindar VerificadorEstatus y agregar safety guard en AgenteComunicador contra desvios a GChat</t>
        </is>
      </c>
      <c r="E5" s="41" t="inlineStr">
        <is>
          <t>Frontend / UI</t>
        </is>
      </c>
      <c r="F5" s="44" t="inlineStr">
        <is>
          <t>Sprint 07 - Sep 2026</t>
        </is>
      </c>
      <c r="G5" s="43" t="inlineStr">
        <is>
          <t>fix(cascade): blindar VerificadorEstatus y agregar safety guard en AgenteComunicador contra desvios a GChat</t>
        </is>
      </c>
    </row>
    <row r="6" ht="20" customHeight="1">
      <c r="A6" s="37" t="inlineStr">
        <is>
          <t>d785d2c8</t>
        </is>
      </c>
      <c r="B6" s="40" t="inlineStr">
        <is>
          <t>2026-09-25 07:55:43 -0600</t>
        </is>
      </c>
      <c r="C6" s="39" t="inlineStr">
        <is>
          <t>Jose Antonio Hurtado Palestina</t>
        </is>
      </c>
      <c r="D6" s="39" t="inlineStr">
        <is>
          <t>fix(state): map charter scope to scope_in and declare private cached narrative state variables</t>
        </is>
      </c>
      <c r="E6" s="37" t="inlineStr">
        <is>
          <t>Plantilla Maestra Word / Narrativa</t>
        </is>
      </c>
      <c r="F6" s="40" t="inlineStr">
        <is>
          <t>Sprint 07 - Sep 2026</t>
        </is>
      </c>
      <c r="G6" s="39" t="inlineStr">
        <is>
          <t>Integración del motor de población sobre Plantilla_Maestra_Oficial_Work_Instructions_TEMIS.docx y 4 tablas oficiales.</t>
        </is>
      </c>
    </row>
    <row r="7" ht="20" customHeight="1">
      <c r="A7" s="41" t="inlineStr">
        <is>
          <t>237f7f7c</t>
        </is>
      </c>
      <c r="B7" s="44" t="inlineStr">
        <is>
          <t>2026-09-25 07:36:53 -0600</t>
        </is>
      </c>
      <c r="C7" s="43" t="inlineStr">
        <is>
          <t>Jose Antonio Hurtado Palestina</t>
        </is>
      </c>
      <c r="D7" s="43" t="inlineStr">
        <is>
          <t>fix(deploy): use python -m backend.main to bind PORT in Render for temis-backend</t>
        </is>
      </c>
      <c r="E7" s="41" t="inlineStr">
        <is>
          <t>DevOps / Despliegue Cloud</t>
        </is>
      </c>
      <c r="F7" s="44" t="inlineStr">
        <is>
          <t>Sprint 07 - Sep 2026</t>
        </is>
      </c>
      <c r="G7" s="43" t="inlineStr">
        <is>
          <t>Optimización de servidor de producción ASGI, configuración de endpoints de upload y resolución de timeouts en Render.</t>
        </is>
      </c>
    </row>
    <row r="8" ht="20" customHeight="1">
      <c r="A8" s="37" t="inlineStr">
        <is>
          <t>aa4e6bbb</t>
        </is>
      </c>
      <c r="B8" s="40" t="inlineStr">
        <is>
          <t>2026-09-24 21:52:23 -0600</t>
        </is>
      </c>
      <c r="C8" s="39" t="inlineStr">
        <is>
          <t>Jose Antonio Hurtado Palestina</t>
        </is>
      </c>
      <c r="D8" s="39" t="inlineStr">
        <is>
          <t>fix(prod_server): register reflex /_upload endpoints and set Upload.is_used for production server</t>
        </is>
      </c>
      <c r="E8" s="37" t="inlineStr">
        <is>
          <t>Ingesta ZIP / Galería Evidencias</t>
        </is>
      </c>
      <c r="F8" s="40" t="inlineStr">
        <is>
          <t>Sprint 07 - Sep 2026</t>
        </is>
      </c>
      <c r="G8" s="39" t="inlineStr">
        <is>
          <t>Parser de paquetes .zip de Media Studio, visor reactivo de capturas Base64 y drag-and-drop en web.</t>
        </is>
      </c>
    </row>
    <row r="9" ht="20" customHeight="1">
      <c r="A9" s="41" t="inlineStr">
        <is>
          <t>3590e8d9</t>
        </is>
      </c>
      <c r="B9" s="44" t="inlineStr">
        <is>
          <t>2026-09-24 21:36:55 -0600</t>
        </is>
      </c>
      <c r="C9" s="43" t="inlineStr">
        <is>
          <t>Jose Antonio Hurtado Palestina</t>
        </is>
      </c>
      <c r="D9" s="43" t="inlineStr">
        <is>
          <t>perf(core): add cache-first loading strategy to eliminate event loop lag on Drive calls</t>
        </is>
      </c>
      <c r="E9" s="41" t="inlineStr">
        <is>
          <t>Frontend / UI</t>
        </is>
      </c>
      <c r="F9" s="44" t="inlineStr">
        <is>
          <t>Sprint 07 - Sep 2026</t>
        </is>
      </c>
      <c r="G9" s="43" t="inlineStr">
        <is>
          <t>perf(core): add cache-first loading strategy to eliminate event loop lag on Drive calls</t>
        </is>
      </c>
    </row>
    <row r="10" ht="20" customHeight="1">
      <c r="A10" s="37" t="inlineStr">
        <is>
          <t>012ff586</t>
        </is>
      </c>
      <c r="B10" s="40" t="inlineStr">
        <is>
          <t>2026-09-24 21:25:33 -0600</t>
        </is>
      </c>
      <c r="C10" s="39" t="inlineStr">
        <is>
          <t>Jose Antonio Hurtado Palestina</t>
        </is>
      </c>
      <c r="D10" s="39" t="inlineStr">
        <is>
          <t>fix(upload): remove strict MIME accept filter to allow seamless Windows ZIP drag-and-drop</t>
        </is>
      </c>
      <c r="E10" s="37" t="inlineStr">
        <is>
          <t>Ingesta ZIP / Galería Evidencias</t>
        </is>
      </c>
      <c r="F10" s="40" t="inlineStr">
        <is>
          <t>Sprint 07 - Sep 2026</t>
        </is>
      </c>
      <c r="G10" s="39" t="inlineStr">
        <is>
          <t>Parser de paquetes .zip de Media Studio, visor reactivo de capturas Base64 y drag-and-drop en web.</t>
        </is>
      </c>
    </row>
    <row r="11" ht="20" customHeight="1">
      <c r="A11" s="41" t="inlineStr">
        <is>
          <t>88b86dd8</t>
        </is>
      </c>
      <c r="B11" s="44" t="inlineStr">
        <is>
          <t>2026-09-24 21:20:44 -0600</t>
        </is>
      </c>
      <c r="C11" s="43" t="inlineStr">
        <is>
          <t>Jose Antonio Hurtado Palestina</t>
        </is>
      </c>
      <c r="D11" s="43" t="inlineStr">
        <is>
          <t>fix(upload): add MIME type fallbacks and handler diagnostics for ZIP uploads</t>
        </is>
      </c>
      <c r="E11" s="41" t="inlineStr">
        <is>
          <t>Ingesta ZIP / Galería Evidencias</t>
        </is>
      </c>
      <c r="F11" s="44" t="inlineStr">
        <is>
          <t>Sprint 07 - Sep 2026</t>
        </is>
      </c>
      <c r="G11" s="43" t="inlineStr">
        <is>
          <t>Parser de paquetes .zip de Media Studio, visor reactivo de capturas Base64 y drag-and-drop en web.</t>
        </is>
      </c>
    </row>
    <row r="12" ht="20" customHeight="1">
      <c r="A12" s="35" t="inlineStr">
        <is>
          <t>b348d651</t>
        </is>
      </c>
      <c r="B12" s="35" t="inlineStr">
        <is>
          <t>2026-09-24 21:04:18 -0600</t>
        </is>
      </c>
      <c r="C12" s="36" t="inlineStr">
        <is>
          <t>Jose Antonio Hurtado Palestina</t>
        </is>
      </c>
      <c r="D12" s="36" t="inlineStr">
        <is>
          <t>revert(studio): keep Temis Media Studio untouched per user instruction</t>
        </is>
      </c>
      <c r="E12" s="35" t="inlineStr">
        <is>
          <t>🔥 HITO: TEMIS Media Studio Desktop</t>
        </is>
      </c>
      <c r="F12" s="35" t="inlineStr">
        <is>
          <t>Sprint 07 - Sep 2026</t>
        </is>
      </c>
      <c r="G12" s="36" t="inlineStr">
        <is>
          <t>Suite de escritorio offline para extracción multimedia, transcripción local Whisper y captura de fotogramas clave HD.</t>
        </is>
      </c>
    </row>
    <row r="13" ht="20" customHeight="1">
      <c r="A13" s="41" t="inlineStr">
        <is>
          <t>da66633c</t>
        </is>
      </c>
      <c r="B13" s="44" t="inlineStr">
        <is>
          <t>2026-09-24 20:58:55 -0600</t>
        </is>
      </c>
      <c r="C13" s="43" t="inlineStr">
        <is>
          <t>Jose Antonio Hurtado Palestina</t>
        </is>
      </c>
      <c r="D13" s="43" t="inlineStr">
        <is>
          <t>fix(narrative): optimize ZIP package handling, add progress spinners and compact auto-zip</t>
        </is>
      </c>
      <c r="E13" s="41" t="inlineStr">
        <is>
          <t>Plantilla Maestra Word / Narrativa</t>
        </is>
      </c>
      <c r="F13" s="44" t="inlineStr">
        <is>
          <t>Sprint 07 - Sep 2026</t>
        </is>
      </c>
      <c r="G13" s="43" t="inlineStr">
        <is>
          <t>Integración del motor de población sobre Plantilla_Maestra_Oficial_Work_Instructions_TEMIS.docx y 4 tablas oficiales.</t>
        </is>
      </c>
    </row>
    <row r="14" ht="20" customHeight="1">
      <c r="A14" s="37" t="inlineStr">
        <is>
          <t>21fb4dc1</t>
        </is>
      </c>
      <c r="B14" s="40" t="inlineStr">
        <is>
          <t>2026-09-24 20:46:08 -0600</t>
        </is>
      </c>
      <c r="C14" s="39" t="inlineStr">
        <is>
          <t>Jose Antonio Hurtado Palestina</t>
        </is>
      </c>
      <c r="D14" s="39" t="inlineStr">
        <is>
          <t>feat(persistence): enable dynamic Google Drive project scanning &amp; cloud user directory persistence</t>
        </is>
      </c>
      <c r="E14" s="37" t="inlineStr">
        <is>
          <t>Google Drive / Persistencia</t>
        </is>
      </c>
      <c r="F14" s="40" t="inlineStr">
        <is>
          <t>Sprint 07 - Sep 2026</t>
        </is>
      </c>
      <c r="G14" s="39" t="inlineStr">
        <is>
          <t>Respaldo automático en Google Workspace Shared Drive con Service Account institucional.</t>
        </is>
      </c>
    </row>
    <row r="15" ht="20" customHeight="1">
      <c r="A15" s="35" t="inlineStr">
        <is>
          <t>5061bb4a</t>
        </is>
      </c>
      <c r="B15" s="35" t="inlineStr">
        <is>
          <t>2026-09-24 20:35:14 -0600</t>
        </is>
      </c>
      <c r="C15" s="36" t="inlineStr">
        <is>
          <t>Jose Antonio Hurtado Palestina</t>
        </is>
      </c>
      <c r="D15" s="36" t="inlineStr">
        <is>
          <t>feat(zip-ingest): add TEMIS Media Studio ZIP package ingestion, Base64 screenshot gallery, and unified pipeline in web</t>
        </is>
      </c>
      <c r="E15" s="35" t="inlineStr">
        <is>
          <t>🔥 HITO: TEMIS Media Studio Desktop</t>
        </is>
      </c>
      <c r="F15" s="35" t="inlineStr">
        <is>
          <t>Sprint 07 - Sep 2026</t>
        </is>
      </c>
      <c r="G15" s="36" t="inlineStr">
        <is>
          <t>Suite de escritorio offline para extracción multimedia, transcripción local Whisper y captura de fotogramas clave HD.</t>
        </is>
      </c>
    </row>
    <row r="16" ht="20" customHeight="1">
      <c r="A16" s="35" t="inlineStr">
        <is>
          <t>9b64dc3a</t>
        </is>
      </c>
      <c r="B16" s="35" t="inlineStr">
        <is>
          <t>2026-09-24 18:08:03 -0600</t>
        </is>
      </c>
      <c r="C16" s="36" t="inlineStr">
        <is>
          <t>Jose Antonio Hurtado Palestina</t>
        </is>
      </c>
      <c r="D16" s="36" t="inlineStr">
        <is>
          <t>feat(studio): switch TEMIS Media Studio to 100% local faster-whisper engine and zero-token local process builder</t>
        </is>
      </c>
      <c r="E16" s="35" t="inlineStr">
        <is>
          <t>🔥 HITO: TEMIS Media Studio Desktop</t>
        </is>
      </c>
      <c r="F16" s="35" t="inlineStr">
        <is>
          <t>Sprint 07 - Sep 2026</t>
        </is>
      </c>
      <c r="G16" s="36" t="inlineStr">
        <is>
          <t>Suite de escritorio offline para extracción multimedia, transcripción local Whisper y captura de fotogramas clave HD.</t>
        </is>
      </c>
    </row>
    <row r="17" ht="20" customHeight="1">
      <c r="A17" s="35" t="inlineStr">
        <is>
          <t>2e80a295</t>
        </is>
      </c>
      <c r="B17" s="35" t="inlineStr">
        <is>
          <t>2026-09-24 17:32:50 -0600</t>
        </is>
      </c>
      <c r="C17" s="36" t="inlineStr">
        <is>
          <t>Jose Antonio Hurtado Palestina</t>
        </is>
      </c>
      <c r="D17" s="36" t="inlineStr">
        <is>
          <t>feat(studio): add TEMIS Media Studio desktop suite for offline whisper transcription, smart screenshot capture and TEMIS package export</t>
        </is>
      </c>
      <c r="E17" s="35" t="inlineStr">
        <is>
          <t>🔥 HITO: TEMIS Media Studio Desktop</t>
        </is>
      </c>
      <c r="F17" s="35" t="inlineStr">
        <is>
          <t>Sprint 07 - Sep 2026</t>
        </is>
      </c>
      <c r="G17" s="36" t="inlineStr">
        <is>
          <t>Suite de escritorio offline para extracción multimedia, transcripción local Whisper y captura de fotogramas clave HD.</t>
        </is>
      </c>
    </row>
    <row r="18" ht="20" customHeight="1">
      <c r="A18" s="37" t="inlineStr">
        <is>
          <t>6d2dc26b</t>
        </is>
      </c>
      <c r="B18" s="40" t="inlineStr">
        <is>
          <t>2026-09-24 16:04:46 -0600</t>
        </is>
      </c>
      <c r="C18" s="39" t="inlineStr">
        <is>
          <t>Jose Antonio Hurtado Palestina</t>
        </is>
      </c>
      <c r="D18" s="39" t="inlineStr">
        <is>
          <t>fix(upload): remove on_drop overwrite to let reflex default upload_file populate rx.selected_files</t>
        </is>
      </c>
      <c r="E18" s="37" t="inlineStr">
        <is>
          <t>Ingesta ZIP / Galería Evidencias</t>
        </is>
      </c>
      <c r="F18" s="40" t="inlineStr">
        <is>
          <t>Sprint 07 - Sep 2026</t>
        </is>
      </c>
      <c r="G18" s="39" t="inlineStr">
        <is>
          <t>Parser de paquetes .zip de Media Studio, visor reactivo de capturas Base64 y drag-and-drop en web.</t>
        </is>
      </c>
    </row>
    <row r="19" ht="20" customHeight="1">
      <c r="A19" s="41" t="inlineStr">
        <is>
          <t>92be41e7</t>
        </is>
      </c>
      <c r="B19" s="44" t="inlineStr">
        <is>
          <t>2026-09-24 15:12:52 -0600</t>
        </is>
      </c>
      <c r="C19" s="43" t="inlineStr">
        <is>
          <t>Jose Antonio Hurtado Palestina</t>
        </is>
      </c>
      <c r="D19" s="43" t="inlineStr">
        <is>
          <t>feat(media): integrate Gemini File API for large audio/video files up to 2GB</t>
        </is>
      </c>
      <c r="E19" s="41" t="inlineStr">
        <is>
          <t>IA / Gemini 2.5 / Audio</t>
        </is>
      </c>
      <c r="F19" s="44" t="inlineStr">
        <is>
          <t>Sprint 07 - Sep 2026</t>
        </is>
      </c>
      <c r="G19" s="43" t="inlineStr">
        <is>
          <t>Ingesta de audios y videos masivos con Gemini File API y extracción incremental de narrativa.</t>
        </is>
      </c>
    </row>
    <row r="20" ht="20" customHeight="1">
      <c r="A20" s="37" t="inlineStr">
        <is>
          <t>2d85d5ec</t>
        </is>
      </c>
      <c r="B20" s="40" t="inlineStr">
        <is>
          <t>2026-09-24 15:06:46 -0600</t>
        </is>
      </c>
      <c r="C20" s="39" t="inlineStr">
        <is>
          <t>Jose Antonio Hurtado Palestina</t>
        </is>
      </c>
      <c r="D20" s="39" t="inlineStr">
        <is>
          <t>feat(media): add upload spinner loading state and size tip note</t>
        </is>
      </c>
      <c r="E20" s="37" t="inlineStr">
        <is>
          <t>Ingesta ZIP / Galería Evidencias</t>
        </is>
      </c>
      <c r="F20" s="40" t="inlineStr">
        <is>
          <t>Sprint 07 - Sep 2026</t>
        </is>
      </c>
      <c r="G20" s="39" t="inlineStr">
        <is>
          <t>Parser de paquetes .zip de Media Studio, visor reactivo de capturas Base64 y drag-and-drop en web.</t>
        </is>
      </c>
    </row>
    <row r="21" ht="20" customHeight="1">
      <c r="A21" s="41" t="inlineStr">
        <is>
          <t>c7175a5e</t>
        </is>
      </c>
      <c r="B21" s="44" t="inlineStr">
        <is>
          <t>2026-09-24 14:51:27 -0600</t>
        </is>
      </c>
      <c r="C21" s="43" t="inlineStr">
        <is>
          <t>Jose Antonio Hurtado Palestina</t>
        </is>
      </c>
      <c r="D21" s="43" t="inlineStr">
        <is>
          <t>fix(upload): connect rx.upload_files to on_drop and add selected file process button</t>
        </is>
      </c>
      <c r="E21" s="41" t="inlineStr">
        <is>
          <t>Ingesta ZIP / Galería Evidencias</t>
        </is>
      </c>
      <c r="F21" s="44" t="inlineStr">
        <is>
          <t>Sprint 07 - Sep 2026</t>
        </is>
      </c>
      <c r="G21" s="43" t="inlineStr">
        <is>
          <t>Parser de paquetes .zip de Media Studio, visor reactivo de capturas Base64 y drag-and-drop en web.</t>
        </is>
      </c>
    </row>
    <row r="22" ht="20" customHeight="1">
      <c r="A22" s="37" t="inlineStr">
        <is>
          <t>5b3d027f</t>
        </is>
      </c>
      <c r="B22" s="40" t="inlineStr">
        <is>
          <t>2026-09-24 14:41:38 -0600</t>
        </is>
      </c>
      <c r="C22" s="39" t="inlineStr">
        <is>
          <t>Jose Antonio Hurtado Palestina</t>
        </is>
      </c>
      <c r="D22" s="39" t="inlineStr">
        <is>
          <t>fix(build): extract document_library_item to top-level typed component to resolve foreach UntypedVarError in Render</t>
        </is>
      </c>
      <c r="E22" s="37" t="inlineStr">
        <is>
          <t>Frontend / UI</t>
        </is>
      </c>
      <c r="F22" s="40" t="inlineStr">
        <is>
          <t>Sprint 07 - Sep 2026</t>
        </is>
      </c>
      <c r="G22" s="39" t="inlineStr">
        <is>
          <t>fix(build): extract document_library_item to top-level typed component to resolve foreach UntypedVarError in Render</t>
        </is>
      </c>
    </row>
    <row r="23" ht="20" customHeight="1">
      <c r="A23" s="41" t="inlineStr">
        <is>
          <t>957bfeba</t>
        </is>
      </c>
      <c r="B23" s="44" t="inlineStr">
        <is>
          <t>2026-09-24 14:30:28 -0600</t>
        </is>
      </c>
      <c r="C23" s="43" t="inlineStr">
        <is>
          <t>Jose Antonio Hurtado Palestina</t>
        </is>
      </c>
      <c r="D23" s="43" t="inlineStr">
        <is>
          <t>feat(media): implement universal audio/video ingestion with mutagen metadata and audit transcript export in docx/txt</t>
        </is>
      </c>
      <c r="E23" s="41" t="inlineStr">
        <is>
          <t>Plantilla Maestra Word / Narrativa</t>
        </is>
      </c>
      <c r="F23" s="44" t="inlineStr">
        <is>
          <t>Sprint 07 - Sep 2026</t>
        </is>
      </c>
      <c r="G23" s="43" t="inlineStr">
        <is>
          <t>Integración del motor de población sobre Plantilla_Maestra_Oficial_Work_Instructions_TEMIS.docx y 4 tablas oficiales.</t>
        </is>
      </c>
    </row>
    <row r="24" ht="20" customHeight="1">
      <c r="A24" s="37" t="inlineStr">
        <is>
          <t>3d0d6ded</t>
        </is>
      </c>
      <c r="B24" s="40" t="inlineStr">
        <is>
          <t>2026-09-23 17:34:48 -0600</t>
        </is>
      </c>
      <c r="C24" s="39" t="inlineStr">
        <is>
          <t>Jose Antonio Hurtado Palestina</t>
        </is>
      </c>
      <c r="D24" s="39" t="inlineStr">
        <is>
          <t>feat(narrative): implement multi-document incremental ingestion and enrichment pipeline</t>
        </is>
      </c>
      <c r="E24" s="37" t="inlineStr">
        <is>
          <t>Plantilla Maestra Word / Narrativa</t>
        </is>
      </c>
      <c r="F24" s="40" t="inlineStr">
        <is>
          <t>Sprint 07 - Sep 2026</t>
        </is>
      </c>
      <c r="G24" s="39" t="inlineStr">
        <is>
          <t>Integración del motor de población sobre Plantilla_Maestra_Oficial_Work_Instructions_TEMIS.docx y 4 tablas oficiales.</t>
        </is>
      </c>
    </row>
    <row r="25" ht="20" customHeight="1">
      <c r="A25" s="41" t="inlineStr">
        <is>
          <t>7229b48e</t>
        </is>
      </c>
      <c r="B25" s="44" t="inlineStr">
        <is>
          <t>2026-09-23 15:58:38 -0600</t>
        </is>
      </c>
      <c r="C25" s="43" t="inlineStr">
        <is>
          <t>Jose Antonio Hurtado Palestina</t>
        </is>
      </c>
      <c r="D25" s="43" t="inlineStr">
        <is>
          <t>feat(narrative): implement client narrative analysis, citations, dual SIPOC, 4-table Word manuals and dual BPMN generation</t>
        </is>
      </c>
      <c r="E25" s="41" t="inlineStr">
        <is>
          <t>Plantilla Maestra Word / Narrativa</t>
        </is>
      </c>
      <c r="F25" s="44" t="inlineStr">
        <is>
          <t>Sprint 07 - Sep 2026</t>
        </is>
      </c>
      <c r="G25" s="43" t="inlineStr">
        <is>
          <t>Integración del motor de población sobre Plantilla_Maestra_Oficial_Work_Instructions_TEMIS.docx y 4 tablas oficiales.</t>
        </is>
      </c>
    </row>
    <row r="26" ht="20" customHeight="1">
      <c r="A26" s="37" t="inlineStr">
        <is>
          <t>74e28a73</t>
        </is>
      </c>
      <c r="B26" s="40" t="inlineStr">
        <is>
          <t>2026-09-23 15:16:40 -0600</t>
        </is>
      </c>
      <c r="C26" s="39" t="inlineStr">
        <is>
          <t>Jose Antonio Hurtado Palestina</t>
        </is>
      </c>
      <c r="D26" s="39" t="inlineStr">
        <is>
          <t>fix(deploy): initialize Reflex state and Starlette lifespan in prod_server for event processor</t>
        </is>
      </c>
      <c r="E26" s="37" t="inlineStr">
        <is>
          <t>DevOps / Despliegue Cloud</t>
        </is>
      </c>
      <c r="F26" s="40" t="inlineStr">
        <is>
          <t>Sprint 07 - Sep 2026</t>
        </is>
      </c>
      <c r="G26" s="39" t="inlineStr">
        <is>
          <t>Optimización de servidor de producción ASGI, configuración de endpoints de upload y resolución de timeouts en Render.</t>
        </is>
      </c>
    </row>
    <row r="27" ht="20" customHeight="1">
      <c r="A27" s="41" t="inlineStr">
        <is>
          <t>158f0ff4</t>
        </is>
      </c>
      <c r="B27" s="44" t="inlineStr">
        <is>
          <t>2026-09-23 14:51:23 -0600</t>
        </is>
      </c>
      <c r="C27" s="43" t="inlineStr">
        <is>
          <t>Jose Antonio Hurtado Palestina</t>
        </is>
      </c>
      <c r="D27" s="43" t="inlineStr">
        <is>
          <t>feat(deploy): add lightweight ASGI prod_server.py to avoid runtime compile OOM in Render</t>
        </is>
      </c>
      <c r="E27" s="41" t="inlineStr">
        <is>
          <t>DevOps / Despliegue Cloud</t>
        </is>
      </c>
      <c r="F27" s="44" t="inlineStr">
        <is>
          <t>Sprint 07 - Sep 2026</t>
        </is>
      </c>
      <c r="G27" s="43" t="inlineStr">
        <is>
          <t>Optimización de servidor de producción ASGI, configuración de endpoints de upload y resolución de timeouts en Render.</t>
        </is>
      </c>
    </row>
    <row r="28" ht="20" customHeight="1">
      <c r="A28" s="37" t="inlineStr">
        <is>
          <t>5af5f0a0</t>
        </is>
      </c>
      <c r="B28" s="40" t="inlineStr">
        <is>
          <t>2026-09-23 13:07:44 -0600</t>
        </is>
      </c>
      <c r="C28" s="39" t="inlineStr">
        <is>
          <t>Jose Antonio Hurtado Palestina</t>
        </is>
      </c>
      <c r="D28" s="39" t="inlineStr">
        <is>
          <t>fix(deploy): use --single-port with --backend-host 0.0.0.0 --backend-port \ in render.yaml</t>
        </is>
      </c>
      <c r="E28" s="37" t="inlineStr">
        <is>
          <t>DevOps / Despliegue Cloud</t>
        </is>
      </c>
      <c r="F28" s="40" t="inlineStr">
        <is>
          <t>Sprint 07 - Sep 2026</t>
        </is>
      </c>
      <c r="G28" s="39" t="inlineStr">
        <is>
          <t>Optimización de servidor de producción ASGI, configuración de endpoints de upload y resolución de timeouts en Render.</t>
        </is>
      </c>
    </row>
    <row r="29" ht="20" customHeight="1">
      <c r="A29" s="41" t="inlineStr">
        <is>
          <t>ff604053</t>
        </is>
      </c>
      <c r="B29" s="44" t="inlineStr">
        <is>
          <t>2026-09-23 12:44:30 -0600</t>
        </is>
      </c>
      <c r="C29" s="43" t="inlineStr">
        <is>
          <t>Jose Antonio Hurtado Palestina</t>
        </is>
      </c>
      <c r="D29" s="43" t="inlineStr">
        <is>
          <t>fix(temis): resolve Radix HStack integer spacing and padding type constraints</t>
        </is>
      </c>
      <c r="E29" s="41" t="inlineStr">
        <is>
          <t>Frontend / UI</t>
        </is>
      </c>
      <c r="F29" s="44" t="inlineStr">
        <is>
          <t>Sprint 07 - Sep 2026</t>
        </is>
      </c>
      <c r="G29" s="43" t="inlineStr">
        <is>
          <t>fix(temis): resolve Radix HStack integer spacing and padding type constraints</t>
        </is>
      </c>
    </row>
    <row r="30" ht="20" customHeight="1">
      <c r="A30" s="37" t="inlineStr">
        <is>
          <t>fa12f8df</t>
        </is>
      </c>
      <c r="B30" s="40" t="inlineStr">
        <is>
          <t>2026-09-23 12:34:14 -0600</t>
        </is>
      </c>
      <c r="C30" s="39" t="inlineStr">
        <is>
          <t>Jose Antonio Hurtado Palestina</t>
        </is>
      </c>
      <c r="D30" s="39" t="inlineStr">
        <is>
          <t>feat(temis): implement verification improvements H01 to H06</t>
        </is>
      </c>
      <c r="E30" s="37" t="inlineStr">
        <is>
          <t>Frontend / UI</t>
        </is>
      </c>
      <c r="F30" s="40" t="inlineStr">
        <is>
          <t>Sprint 07 - Sep 2026</t>
        </is>
      </c>
      <c r="G30" s="39" t="inlineStr">
        <is>
          <t>feat(temis): implement verification improvements H01 to H06</t>
        </is>
      </c>
    </row>
    <row r="31" ht="20" customHeight="1">
      <c r="A31" s="41" t="inlineStr">
        <is>
          <t>1d3f1819</t>
        </is>
      </c>
      <c r="B31" s="44" t="inlineStr">
        <is>
          <t>2026-09-23 11:52:59 -0600</t>
        </is>
      </c>
      <c r="C31" s="43" t="inlineStr">
        <is>
          <t>Jose Antonio Hurtado Palestina</t>
        </is>
      </c>
      <c r="D31" s="43" t="inlineStr">
        <is>
          <t>feat(temis): implement formal verification audit findings (F01-F06) for phase gates, selection isolation, AI audit, and backlog modal</t>
        </is>
      </c>
      <c r="E31" s="41" t="inlineStr">
        <is>
          <t>Frontend / UI</t>
        </is>
      </c>
      <c r="F31" s="44" t="inlineStr">
        <is>
          <t>Sprint 07 - Sep 2026</t>
        </is>
      </c>
      <c r="G31" s="43" t="inlineStr">
        <is>
          <t>feat(temis): implement formal verification audit findings (F01-F06) for phase gates, selection isolation, AI audit, and backlog modal</t>
        </is>
      </c>
    </row>
    <row r="32" ht="20" customHeight="1">
      <c r="A32" s="37" t="inlineStr">
        <is>
          <t>603d7945</t>
        </is>
      </c>
      <c r="B32" s="40" t="inlineStr">
        <is>
          <t>2026-09-23 10:52:17 -0600</t>
        </is>
      </c>
      <c r="C32" s="39" t="inlineStr">
        <is>
          <t>Jose Antonio Hurtado Palestina</t>
        </is>
      </c>
      <c r="D32" s="39" t="inlineStr">
        <is>
          <t>fix(render): pre-compile frontend during build phase with reflex export --no-zip to prevent port scan timeout on startup</t>
        </is>
      </c>
      <c r="E32" s="37" t="inlineStr">
        <is>
          <t>Ingesta ZIP / Galería Evidencias</t>
        </is>
      </c>
      <c r="F32" s="40" t="inlineStr">
        <is>
          <t>Sprint 07 - Sep 2026</t>
        </is>
      </c>
      <c r="G32" s="39" t="inlineStr">
        <is>
          <t>Parser de paquetes .zip de Media Studio, visor reactivo de capturas Base64 y drag-and-drop en web.</t>
        </is>
      </c>
    </row>
    <row r="33" ht="20" customHeight="1">
      <c r="A33" s="41" t="inlineStr">
        <is>
          <t>7a70433a</t>
        </is>
      </c>
      <c r="B33" s="44" t="inlineStr">
        <is>
          <t>2026-09-23 10:08:17 -0600</t>
        </is>
      </c>
      <c r="C33" s="43" t="inlineStr">
        <is>
          <t>Jose Antonio Hurtado Palestina</t>
        </is>
      </c>
      <c r="D33" s="43" t="inlineStr">
        <is>
          <t>fix(temis): resolve BPMN multi-page selection desync P0, non-destructive SIPOC flow generation P0, accessible 44px nudge controls P1, AI proposal review modal P1, and Excel MIME export P2</t>
        </is>
      </c>
      <c r="E33" s="41" t="inlineStr">
        <is>
          <t>SIPOC / Excel Oficial</t>
        </is>
      </c>
      <c r="F33" s="44" t="inlineStr">
        <is>
          <t>Sprint 07 - Sep 2026</t>
        </is>
      </c>
      <c r="G33" s="43" t="inlineStr">
        <is>
          <t>Estandarización del exportador Excel idéntico a Plantilla Matriz Sipoc.xlsx con 11 columnas y Century Gothic.</t>
        </is>
      </c>
    </row>
    <row r="34" ht="20" customHeight="1">
      <c r="A34" s="37" t="inlineStr">
        <is>
          <t>23a039ac</t>
        </is>
      </c>
      <c r="B34" s="40" t="inlineStr">
        <is>
          <t>2026-09-23 09:50:35 -0600</t>
        </is>
      </c>
      <c r="C34" s="39" t="inlineStr">
        <is>
          <t>Jose Antonio Hurtado Palestina</t>
        </is>
      </c>
      <c r="D34" s="39" t="inlineStr">
        <is>
          <t>feat(temis): resolve audit findings - P0 user recovery, canonical SP consistency, Executive Light Slate theme (WCAG 2.2 AA), and BPMN/SIPOC usability</t>
        </is>
      </c>
      <c r="E34" s="37" t="inlineStr">
        <is>
          <t>Frontend / UI</t>
        </is>
      </c>
      <c r="F34" s="40" t="inlineStr">
        <is>
          <t>Sprint 07 - Sep 2026</t>
        </is>
      </c>
      <c r="G34" s="39" t="inlineStr">
        <is>
          <t>feat(temis): resolve audit findings - P0 user recovery, canonical SP consistency, Executive Light Slate theme (WCAG 2.2 AA), and BPMN/SIPOC usability</t>
        </is>
      </c>
    </row>
    <row r="35" ht="20" customHeight="1">
      <c r="A35" s="41" t="inlineStr">
        <is>
          <t>2dd8d83a</t>
        </is>
      </c>
      <c r="B35" s="44" t="inlineStr">
        <is>
          <t>2026-09-22 22:42:55 -0600</t>
        </is>
      </c>
      <c r="C35" s="43" t="inlineStr">
        <is>
          <t>Jose Antonio Hurtado Palestina</t>
        </is>
      </c>
      <c r="D35" s="43" t="inlineStr">
        <is>
          <t>fix(auth): fix login card z-index stacking and pointer-events layering issue</t>
        </is>
      </c>
      <c r="E35" s="41" t="inlineStr">
        <is>
          <t>Frontend / UI</t>
        </is>
      </c>
      <c r="F35" s="44" t="inlineStr">
        <is>
          <t>Sprint 07 - Sep 2026</t>
        </is>
      </c>
      <c r="G35" s="43" t="inlineStr">
        <is>
          <t>fix(auth): fix login card z-index stacking and pointer-events layering issue</t>
        </is>
      </c>
    </row>
    <row r="36" ht="20" customHeight="1">
      <c r="A36" s="37" t="inlineStr">
        <is>
          <t>9e917f18</t>
        </is>
      </c>
      <c r="B36" s="40" t="inlineStr">
        <is>
          <t>2026-09-22 22:29:27 -0600</t>
        </is>
      </c>
      <c r="C36" s="39" t="inlineStr">
        <is>
          <t>Jose Antonio Hurtado Palestina</t>
        </is>
      </c>
      <c r="D36" s="39" t="inlineStr">
        <is>
          <t>feat(ui): complete executive dark mode overhaul across all views and canvas</t>
        </is>
      </c>
      <c r="E36" s="37" t="inlineStr">
        <is>
          <t>Frontend / UI</t>
        </is>
      </c>
      <c r="F36" s="40" t="inlineStr">
        <is>
          <t>Sprint 07 - Sep 2026</t>
        </is>
      </c>
      <c r="G36" s="39" t="inlineStr">
        <is>
          <t>feat(ui): complete executive dark mode overhaul across all views and canvas</t>
        </is>
      </c>
    </row>
    <row r="37" ht="20" customHeight="1">
      <c r="A37" s="41" t="inlineStr">
        <is>
          <t>3b91534d</t>
        </is>
      </c>
      <c r="B37" s="44" t="inlineStr">
        <is>
          <t>2026-09-22 21:58:44 -0600</t>
        </is>
      </c>
      <c r="C37" s="43" t="inlineStr">
        <is>
          <t>Jose Antonio Hurtado Palestina</t>
        </is>
      </c>
      <c r="D37" s="43" t="inlineStr">
        <is>
          <t>fix(deploy): resolve FlowState export attribute error and normalize Lucide icon tags</t>
        </is>
      </c>
      <c r="E37" s="41" t="inlineStr">
        <is>
          <t>SIPOC / Excel Oficial</t>
        </is>
      </c>
      <c r="F37" s="44" t="inlineStr">
        <is>
          <t>Sprint 07 - Sep 2026</t>
        </is>
      </c>
      <c r="G37" s="43" t="inlineStr">
        <is>
          <t>Estandarización del exportador Excel idéntico a Plantilla Matriz Sipoc.xlsx con 11 columnas y Century Gothic.</t>
        </is>
      </c>
    </row>
    <row r="38" ht="20" customHeight="1">
      <c r="A38" s="37" t="inlineStr">
        <is>
          <t>94572889</t>
        </is>
      </c>
      <c r="B38" s="40" t="inlineStr">
        <is>
          <t>2026-09-22 21:48:22 -0600</t>
        </is>
      </c>
      <c r="C38" s="39" t="inlineStr">
        <is>
          <t>Jose Antonio Hurtado Palestina</t>
        </is>
      </c>
      <c r="D38" s="39" t="inlineStr">
        <is>
          <t>feat(ui): complete executive visual redesign with slate contrast, 0% emojis, elevated cards and high-contrast typography</t>
        </is>
      </c>
      <c r="E38" s="37" t="inlineStr">
        <is>
          <t>Frontend / UI</t>
        </is>
      </c>
      <c r="F38" s="40" t="inlineStr">
        <is>
          <t>Sprint 07 - Sep 2026</t>
        </is>
      </c>
      <c r="G38" s="39" t="inlineStr">
        <is>
          <t>feat(ui): complete executive visual redesign with slate contrast, 0% emojis, elevated cards and high-contrast typography</t>
        </is>
      </c>
    </row>
    <row r="39" ht="20" customHeight="1">
      <c r="A39" s="41" t="inlineStr">
        <is>
          <t>a90ae9cf</t>
        </is>
      </c>
      <c r="B39" s="44" t="inlineStr">
        <is>
          <t>2026-09-22 21:30:33 -0600</t>
        </is>
      </c>
      <c r="C39" s="43" t="inlineStr">
        <is>
          <t>Jose Antonio Hurtado Palestina</t>
        </is>
      </c>
      <c r="D39" s="43" t="inlineStr">
        <is>
          <t>feat(temis): add auto-save heartbeat, executive charter print/PDF export, floating toast alerts, and audit score delta</t>
        </is>
      </c>
      <c r="E39" s="41" t="inlineStr">
        <is>
          <t>SIPOC / Excel Oficial</t>
        </is>
      </c>
      <c r="F39" s="44" t="inlineStr">
        <is>
          <t>Sprint 07 - Sep 2026</t>
        </is>
      </c>
      <c r="G39" s="43" t="inlineStr">
        <is>
          <t>Estandarización del exportador Excel idéntico a Plantilla Matriz Sipoc.xlsx con 11 columnas y Century Gothic.</t>
        </is>
      </c>
    </row>
    <row r="40" ht="20" customHeight="1">
      <c r="A40" s="37" t="inlineStr">
        <is>
          <t>a1a70ae0</t>
        </is>
      </c>
      <c r="B40" s="40" t="inlineStr">
        <is>
          <t>2026-09-22 21:17:22 -0600</t>
        </is>
      </c>
      <c r="C40" s="39" t="inlineStr">
        <is>
          <t>Jose Antonio Hurtado Palestina</t>
        </is>
      </c>
      <c r="D40" s="39" t="inlineStr">
        <is>
          <t>fix(temis): add responsive table containers and toolbar wrapping to SIPOC and Work Plan views</t>
        </is>
      </c>
      <c r="E40" s="37" t="inlineStr">
        <is>
          <t>Frontend / UI</t>
        </is>
      </c>
      <c r="F40" s="40" t="inlineStr">
        <is>
          <t>Sprint 07 - Sep 2026</t>
        </is>
      </c>
      <c r="G40" s="39" t="inlineStr">
        <is>
          <t>fix(temis): add responsive table containers and toolbar wrapping to SIPOC and Work Plan views</t>
        </is>
      </c>
    </row>
    <row r="41" ht="20" customHeight="1">
      <c r="A41" s="41" t="inlineStr">
        <is>
          <t>c4b05b5c</t>
        </is>
      </c>
      <c r="B41" s="44" t="inlineStr">
        <is>
          <t>2026-09-22 21:13:41 -0600</t>
        </is>
      </c>
      <c r="C41" s="43" t="inlineStr">
        <is>
          <t>Jose Antonio Hurtado Palestina</t>
        </is>
      </c>
      <c r="D41" s="43" t="inlineStr">
        <is>
          <t>fix(temis): implement full UX/UI audit recommendations - responsive reflow, clean semantics, sprint sync, and zero emojis</t>
        </is>
      </c>
      <c r="E41" s="41" t="inlineStr">
        <is>
          <t>Frontend / UI</t>
        </is>
      </c>
      <c r="F41" s="44" t="inlineStr">
        <is>
          <t>Sprint 07 - Sep 2026</t>
        </is>
      </c>
      <c r="G41" s="43" t="inlineStr">
        <is>
          <t>fix(temis): implement full UX/UI audit recommendations - responsive reflow, clean semantics, sprint sync, and zero emojis</t>
        </is>
      </c>
    </row>
    <row r="42" ht="20" customHeight="1">
      <c r="A42" s="37" t="inlineStr">
        <is>
          <t>5e1cc184</t>
        </is>
      </c>
      <c r="B42" s="40" t="inlineStr">
        <is>
          <t>2026-09-22 20:38:56 -0600</t>
        </is>
      </c>
      <c r="C42" s="39" t="inlineStr">
        <is>
          <t>Jose Antonio Hurtado Palestina</t>
        </is>
      </c>
      <c r="D42" s="39" t="inlineStr">
        <is>
          <t>fix(temis): resolve Reflex Var type in user table and standardize Lucide circle-check icon</t>
        </is>
      </c>
      <c r="E42" s="37" t="inlineStr">
        <is>
          <t>Frontend / UI</t>
        </is>
      </c>
      <c r="F42" s="40" t="inlineStr">
        <is>
          <t>Sprint 07 - Sep 2026</t>
        </is>
      </c>
      <c r="G42" s="39" t="inlineStr">
        <is>
          <t>fix(temis): resolve Reflex Var type in user table and standardize Lucide circle-check icon</t>
        </is>
      </c>
    </row>
    <row r="43" ht="20" customHeight="1">
      <c r="A43" s="41" t="inlineStr">
        <is>
          <t>1f29dea3</t>
        </is>
      </c>
      <c r="B43" s="44" t="inlineStr">
        <is>
          <t>2026-09-22 19:21:19 -0600</t>
        </is>
      </c>
      <c r="C43" s="43" t="inlineStr">
        <is>
          <t>Jose Antonio Hurtado Palestina</t>
        </is>
      </c>
      <c r="D43" s="43" t="inlineStr">
        <is>
          <t>feat(temis): add project deletion with confirmation modal and project access assignment per user in user management</t>
        </is>
      </c>
      <c r="E43" s="41" t="inlineStr">
        <is>
          <t>Frontend / UI</t>
        </is>
      </c>
      <c r="F43" s="44" t="inlineStr">
        <is>
          <t>Sprint 07 - Sep 2026</t>
        </is>
      </c>
      <c r="G43" s="43" t="inlineStr">
        <is>
          <t>feat(temis): add project deletion with confirmation modal and project access assignment per user in user management</t>
        </is>
      </c>
    </row>
    <row r="44" ht="20" customHeight="1">
      <c r="A44" s="37" t="inlineStr">
        <is>
          <t>a5e507a4</t>
        </is>
      </c>
      <c r="B44" s="40" t="inlineStr">
        <is>
          <t>2026-09-22 18:57:27 -0600</t>
        </is>
      </c>
      <c r="C44" s="39" t="inlineStr">
        <is>
          <t>Jose Antonio Hurtado Palestina</t>
        </is>
      </c>
      <c r="D44" s="39" t="inlineStr">
        <is>
          <t>style(temis): complete 100% emoji-free UI and standard typographic strings across all views</t>
        </is>
      </c>
      <c r="E44" s="37" t="inlineStr">
        <is>
          <t>Frontend / UI</t>
        </is>
      </c>
      <c r="F44" s="40" t="inlineStr">
        <is>
          <t>Sprint 07 - Sep 2026</t>
        </is>
      </c>
      <c r="G44" s="39" t="inlineStr">
        <is>
          <t>style(temis): complete 100% emoji-free UI and standard typographic strings across all views</t>
        </is>
      </c>
    </row>
    <row r="45" ht="20" customHeight="1">
      <c r="A45" s="41" t="inlineStr">
        <is>
          <t>35787df4</t>
        </is>
      </c>
      <c r="B45" s="44" t="inlineStr">
        <is>
          <t>2026-09-22 18:52:10 -0600</t>
        </is>
      </c>
      <c r="C45" s="43" t="inlineStr">
        <is>
          <t>Jose Antonio Hurtado Palestina</t>
        </is>
      </c>
      <c r="D45" s="43" t="inlineStr">
        <is>
          <t>feat(temis): add executive attention banner in hub and 4-step onboarding roadmap in project charter</t>
        </is>
      </c>
      <c r="E45" s="41" t="inlineStr">
        <is>
          <t>Frontend / UI</t>
        </is>
      </c>
      <c r="F45" s="44" t="inlineStr">
        <is>
          <t>Sprint 07 - Sep 2026</t>
        </is>
      </c>
      <c r="G45" s="43" t="inlineStr">
        <is>
          <t>feat(temis): add executive attention banner in hub and 4-step onboarding roadmap in project charter</t>
        </is>
      </c>
    </row>
    <row r="46" ht="20" customHeight="1">
      <c r="A46" s="37" t="inlineStr">
        <is>
          <t>119cb5a5</t>
        </is>
      </c>
      <c r="B46" s="40" t="inlineStr">
        <is>
          <t>2026-09-22 18:46:47 -0600</t>
        </is>
      </c>
      <c r="C46" s="39" t="inlineStr">
        <is>
          <t>Jose Antonio Hurtado Palestina</t>
        </is>
      </c>
      <c r="D46" s="39" t="inlineStr">
        <is>
          <t>feat(temis): implement enterprise visual design system, 3-step project wizard, workspace lateral sidebar, and remove all emojis in favor of Lucide vector icons</t>
        </is>
      </c>
      <c r="E46" s="37" t="inlineStr">
        <is>
          <t>Frontend / UI</t>
        </is>
      </c>
      <c r="F46" s="40" t="inlineStr">
        <is>
          <t>Sprint 07 - Sep 2026</t>
        </is>
      </c>
      <c r="G46" s="39" t="inlineStr">
        <is>
          <t>feat(temis): implement enterprise visual design system, 3-step project wizard, workspace lateral sidebar, and remove all emojis in favor of Lucide vector icons</t>
        </is>
      </c>
    </row>
    <row r="47" ht="20" customHeight="1">
      <c r="A47" s="41" t="inlineStr">
        <is>
          <t>14d7dac8</t>
        </is>
      </c>
      <c r="B47" s="44" t="inlineStr">
        <is>
          <t>2026-09-22 18:31:41 -0600</t>
        </is>
      </c>
      <c r="C47" s="43" t="inlineStr">
        <is>
          <t>Jose Antonio Hurtado Palestina</t>
        </is>
      </c>
      <c r="D47" s="43" t="inlineStr">
        <is>
          <t>feat(temis): complete T15 and T16 audit tickets (onboarding tab routing, save states, and operational governance gates)</t>
        </is>
      </c>
      <c r="E47" s="41" t="inlineStr">
        <is>
          <t>Frontend / UI</t>
        </is>
      </c>
      <c r="F47" s="44" t="inlineStr">
        <is>
          <t>Sprint 07 - Sep 2026</t>
        </is>
      </c>
      <c r="G47" s="43" t="inlineStr">
        <is>
          <t>feat(temis): complete T15 and T16 audit tickets (onboarding tab routing, save states, and operational governance gates)</t>
        </is>
      </c>
    </row>
    <row r="48" ht="20" customHeight="1">
      <c r="A48" s="37" t="inlineStr">
        <is>
          <t>35b6a849</t>
        </is>
      </c>
      <c r="B48" s="40" t="inlineStr">
        <is>
          <t>2026-09-22 18:26:30 -0600</t>
        </is>
      </c>
      <c r="C48" s="39" t="inlineStr">
        <is>
          <t>Jose Antonio Hurtado Palestina</t>
        </is>
      </c>
      <c r="D48" s="39" t="inlineStr">
        <is>
          <t>fix(temis): resolve QA audit findings T01-T14 (security, data isolation, dates, idempotency, UX improvements)</t>
        </is>
      </c>
      <c r="E48" s="37" t="inlineStr">
        <is>
          <t>Frontend / UI</t>
        </is>
      </c>
      <c r="F48" s="40" t="inlineStr">
        <is>
          <t>Sprint 07 - Sep 2026</t>
        </is>
      </c>
      <c r="G48" s="39" t="inlineStr">
        <is>
          <t>fix(temis): resolve QA audit findings T01-T14 (security, data isolation, dates, idempotency, UX improvements)</t>
        </is>
      </c>
    </row>
    <row r="49">
      <c r="A49" s="41" t="inlineStr">
        <is>
          <t>19f3e4e6</t>
        </is>
      </c>
      <c r="B49" s="44" t="inlineStr">
        <is>
          <t>2026-09-22 13:38:38 -0600</t>
        </is>
      </c>
      <c r="C49" s="43" t="inlineStr">
        <is>
          <t>Jose Antonio Hurtado Palestina</t>
        </is>
      </c>
      <c r="D49" s="43" t="inlineStr">
        <is>
          <t>feat(backend): robustecer schemas con aliases, unificar reply_text en CSAT y homologar cierre de AgenteComunicador</t>
        </is>
      </c>
      <c r="E49" s="41" t="inlineStr">
        <is>
          <t>Frontend / UI</t>
        </is>
      </c>
      <c r="F49" s="44" t="inlineStr">
        <is>
          <t>Sprint 07 - Sep 2026</t>
        </is>
      </c>
      <c r="G49" s="43" t="inlineStr">
        <is>
          <t>feat(backend): robustecer schemas con aliases, unificar reply_text en CSAT y homologar cierre de AgenteComunicador</t>
        </is>
      </c>
    </row>
    <row r="50">
      <c r="A50" s="37" t="inlineStr">
        <is>
          <t>8b2a6e55</t>
        </is>
      </c>
      <c r="B50" s="40" t="inlineStr">
        <is>
          <t>2026-09-22 13:26:06 -0600</t>
        </is>
      </c>
      <c r="C50" s="39" t="inlineStr">
        <is>
          <t>Jose Antonio Hurtado Palestina</t>
        </is>
      </c>
      <c r="D50" s="39" t="inlineStr">
        <is>
          <t>docs(cascada): homologar prompts de los 15 agentes, estandarizar payloads HTTP y orden de cierre</t>
        </is>
      </c>
      <c r="E50" s="37" t="inlineStr">
        <is>
          <t>Frontend / UI</t>
        </is>
      </c>
      <c r="F50" s="40" t="inlineStr">
        <is>
          <t>Sprint 07 - Sep 2026</t>
        </is>
      </c>
      <c r="G50" s="39" t="inlineStr">
        <is>
          <t>docs(cascada): homologar prompts de los 15 agentes, estandarizar payloads HTTP y orden de cierre</t>
        </is>
      </c>
    </row>
    <row r="51">
      <c r="A51" s="41" t="inlineStr">
        <is>
          <t>23ba5a70</t>
        </is>
      </c>
      <c r="B51" s="44" t="inlineStr">
        <is>
          <t>2026-09-22 13:13:46 -0600</t>
        </is>
      </c>
      <c r="C51" s="43" t="inlineStr">
        <is>
          <t>Jose Antonio Hurtado Palestina</t>
        </is>
      </c>
      <c r="D51" s="43" t="inlineStr">
        <is>
          <t>fix(bsa-fraudes): implementar persistencia de estado post-cierre y emision de SC.037</t>
        </is>
      </c>
      <c r="E51" s="41" t="inlineStr">
        <is>
          <t>Frontend / UI</t>
        </is>
      </c>
      <c r="F51" s="44" t="inlineStr">
        <is>
          <t>Sprint 07 - Sep 2026</t>
        </is>
      </c>
      <c r="G51" s="43" t="inlineStr">
        <is>
          <t>fix(bsa-fraudes): implementar persistencia de estado post-cierre y emision de SC.037</t>
        </is>
      </c>
    </row>
    <row r="52">
      <c r="A52" s="37" t="inlineStr">
        <is>
          <t>8a76d8ef</t>
        </is>
      </c>
      <c r="B52" s="40" t="inlineStr">
        <is>
          <t>2026-09-22 12:44:54 -0600</t>
        </is>
      </c>
      <c r="C52" s="39" t="inlineStr">
        <is>
          <t>Jose Antonio Hurtado Palestina</t>
        </is>
      </c>
      <c r="D52" s="39" t="inlineStr">
        <is>
          <t>fix(db): ignore deleted postgres host and fallback safely to SQLite for Google Drive persistence</t>
        </is>
      </c>
      <c r="E52" s="37" t="inlineStr">
        <is>
          <t>Google Drive / Persistencia</t>
        </is>
      </c>
      <c r="F52" s="40" t="inlineStr">
        <is>
          <t>Sprint 07 - Sep 2026</t>
        </is>
      </c>
      <c r="G52" s="39" t="inlineStr">
        <is>
          <t>Respaldo automático en Google Workspace Shared Drive con Service Account institucional.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2026-09-10T16:47:42Z</dcterms:created>
  <dcterms:modified xmlns:dcterms="http://purl.org/dc/terms/" xmlns:xsi="http://www.w3.org/2001/XMLSchema-instance" xsi:type="dcterms:W3CDTF">2026-10-02T20:40:06Z</dcterms:modified>
</cp:coreProperties>
</file>